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ATA SCIENCE\EXCEL\"/>
    </mc:Choice>
  </mc:AlternateContent>
  <xr:revisionPtr revIDLastSave="0" documentId="13_ncr:1_{41062703-2BF6-4DDE-9CEF-8984DA4DB193}" xr6:coauthVersionLast="47" xr6:coauthVersionMax="47" xr10:uidLastSave="{00000000-0000-0000-0000-000000000000}"/>
  <bookViews>
    <workbookView xWindow="-108" yWindow="-108" windowWidth="23256" windowHeight="12456" firstSheet="10" activeTab="13" xr2:uid="{49C3BCB3-A939-4EF0-A370-9231102AC21B}"/>
  </bookViews>
  <sheets>
    <sheet name="ORIGINAL DATA" sheetId="1" r:id="rId1"/>
    <sheet name="DATA CLEANING" sheetId="2" r:id="rId2"/>
    <sheet name="Average of Discount Categories" sheetId="4" r:id="rId3"/>
    <sheet name="Average of Rating Categories" sheetId="5" r:id="rId4"/>
    <sheet name="Discount % x Reviews" sheetId="8" r:id="rId5"/>
    <sheet name="Rating X Number of reviews" sheetId="9" r:id="rId6"/>
    <sheet name="Top 5 Rated Products" sheetId="10" r:id="rId7"/>
    <sheet name="Bottom 5 Rated Products" sheetId="11" r:id="rId8"/>
    <sheet name="Top 10 Discounted Products" sheetId="13" r:id="rId9"/>
    <sheet name="Top 10 Reviewed Products" sheetId="14" r:id="rId10"/>
    <sheet name="High vs low disc.-Rate &amp; Review" sheetId="17" r:id="rId11"/>
    <sheet name="Slicers" sheetId="18" r:id="rId12"/>
    <sheet name="The important Summary" sheetId="3" r:id="rId13"/>
    <sheet name="DASHBOARD" sheetId="12" r:id="rId14"/>
  </sheets>
  <definedNames>
    <definedName name="_xlnm._FilterDatabase" localSheetId="1" hidden="1">'DATA CLEANING'!$A$1:$I$113</definedName>
    <definedName name="Slicer_Discount_Category">#N/A</definedName>
    <definedName name="Slicer_Product">#N/A</definedName>
    <definedName name="Slicer_Rating_Category">#N/A</definedName>
  </definedNames>
  <calcPr calcId="191029"/>
  <pivotCaches>
    <pivotCache cacheId="0" r:id="rId15"/>
    <pivotCache cacheId="1" r:id="rId16"/>
    <pivotCache cacheId="2" r:id="rId17"/>
    <pivotCache cacheId="3" r:id="rId18"/>
    <pivotCache cacheId="4" r:id="rId19"/>
  </pivotCaches>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16" i="2" l="1"/>
  <c r="A116" i="2"/>
  <c r="B122" i="2" l="1"/>
  <c r="B123" i="2" s="1"/>
  <c r="B119" i="2"/>
  <c r="B120" i="2" s="1"/>
  <c r="E118" i="2"/>
  <c r="C118" i="2"/>
  <c r="H118" i="2"/>
  <c r="B118"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2" i="2"/>
  <c r="B131" i="2" l="1"/>
  <c r="B126" i="2"/>
  <c r="B127" i="2"/>
  <c r="B129" i="2"/>
  <c r="B125" i="2"/>
  <c r="B130" i="2"/>
</calcChain>
</file>

<file path=xl/sharedStrings.xml><?xml version="1.0" encoding="utf-8"?>
<sst xmlns="http://schemas.openxmlformats.org/spreadsheetml/2006/main" count="1461" uniqueCount="370">
  <si>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</si>
  <si>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</si>
  <si>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</si>
  <si>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</si>
  <si>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</si>
  <si>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</si>
  <si>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</si>
  <si>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</si>
  <si>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</si>
  <si>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</si>
  <si>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</si>
  <si>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</si>
  <si>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</si>
  <si>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</si>
  <si>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</si>
  <si>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</si>
  <si>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</si>
  <si>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</si>
  <si>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</si>
  <si>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</si>
  <si>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</si>
  <si>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</si>
  <si>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</si>
  <si>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</si>
  <si>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</si>
  <si>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</si>
  <si>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</si>
  <si>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</si>
  <si>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</si>
  <si>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</si>
  <si>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</si>
  <si>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</si>
  <si>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</si>
  <si>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</si>
  <si>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</si>
  <si>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</si>
  <si>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</si>
  <si>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</si>
  <si>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</si>
  <si>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</si>
  <si>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</si>
  <si>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</si>
  <si>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</si>
  <si>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</si>
  <si>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</si>
  <si>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</si>
  <si>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</si>
  <si>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</si>
  <si>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</si>
  <si>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</si>
  <si>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</si>
  <si>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</si>
  <si>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</si>
  <si>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</si>
  <si>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</si>
  <si>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</si>
  <si>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</si>
  <si>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</si>
  <si>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</si>
  <si>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</si>
  <si>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</si>
  <si>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</si>
  <si>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</si>
  <si>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</si>
  <si>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</si>
  <si>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</si>
  <si>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</si>
  <si>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</si>
  <si>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</si>
  <si>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</si>
  <si>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</si>
  <si>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</si>
  <si>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</si>
  <si>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</si>
  <si>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</si>
  <si>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</si>
  <si>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</si>
  <si>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</si>
  <si>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</si>
  <si>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</si>
  <si>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</si>
  <si>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</si>
  <si>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</si>
  <si>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</si>
  <si>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</si>
  <si>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</si>
  <si>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</si>
  <si>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</si>
  <si>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</si>
  <si>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</si>
  <si>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</si>
  <si>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</si>
  <si>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</si>
  <si>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</si>
  <si>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</si>
  <si>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</si>
  <si>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</si>
  <si>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</si>
  <si>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</si>
  <si>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</si>
  <si>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</si>
  <si>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</si>
  <si>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</si>
  <si>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</si>
  <si>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</si>
  <si>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</si>
  <si>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</si>
  <si>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</si>
  <si>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</si>
  <si>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</si>
  <si>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</si>
  <si>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</si>
  <si>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</si>
  <si>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</si>
  <si>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</si>
  <si>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</si>
  <si>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</si>
  <si>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</si>
  <si>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</si>
  <si>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</si>
  <si>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</si>
  <si>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</si>
  <si>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</si>
  <si>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</si>
  <si>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</si>
  <si>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</si>
  <si>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</si>
  <si>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</si>
  <si>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</si>
  <si>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</si>
  <si>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</si>
  <si>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</si>
  <si>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</si>
  <si>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</si>
  <si>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</si>
  <si>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</si>
  <si>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</si>
  <si>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</si>
  <si>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</si>
  <si>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</si>
  <si>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</si>
  <si>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</si>
  <si>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</si>
  <si>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</si>
  <si>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</si>
  <si>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</si>
  <si>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</si>
  <si>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</si>
  <si>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</si>
  <si>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</si>
  <si>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</si>
  <si>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</si>
  <si>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</si>
  <si>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</si>
  <si>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</si>
  <si>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</si>
  <si>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</si>
  <si>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</si>
  <si>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</si>
  <si>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</si>
  <si>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</si>
  <si>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</si>
  <si>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</si>
  <si>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</si>
  <si>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</si>
  <si>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</si>
  <si>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</si>
  <si>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</si>
  <si>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</si>
  <si>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</si>
  <si>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</si>
  <si>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</si>
  <si>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</si>
  <si>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</si>
  <si>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</si>
  <si>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</si>
  <si>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</si>
  <si>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</si>
  <si>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</si>
  <si>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</si>
  <si>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</si>
  <si>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</si>
  <si>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</si>
  <si>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</si>
  <si>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</si>
  <si>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</si>
  <si>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</si>
  <si>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</si>
  <si>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</si>
  <si>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</si>
  <si>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</si>
  <si>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</si>
  <si>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</si>
  <si>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</si>
  <si>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</si>
  <si>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</si>
  <si>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</si>
  <si>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</si>
  <si>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</si>
  <si>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</si>
  <si>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</si>
  <si>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</si>
  <si>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</si>
  <si>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</si>
  <si>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</si>
  <si>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</si>
  <si>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</si>
  <si>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</si>
  <si>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</si>
  <si>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</si>
  <si>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</si>
  <si>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</si>
  <si>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</si>
  <si>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</si>
  <si>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</si>
  <si>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</si>
  <si>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</si>
  <si>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</si>
  <si>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</si>
  <si>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</si>
  <si>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</si>
  <si>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</si>
  <si>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</si>
  <si>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</si>
  <si>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</si>
  <si>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</si>
  <si>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</si>
  <si>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</si>
  <si>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</si>
  <si>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</si>
  <si>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</si>
  <si>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</si>
  <si>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</si>
  <si>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</si>
  <si>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</si>
  <si>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</si>
  <si>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</si>
  <si>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</si>
  <si>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</si>
  <si>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</si>
  <si>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</si>
  <si>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</si>
  <si>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</si>
  <si>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</si>
  <si>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</si>
  <si>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</si>
  <si>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</si>
  <si>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</si>
  <si>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</si>
  <si>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</si>
  <si>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</si>
  <si>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</si>
  <si>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</si>
  <si>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</si>
  <si>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</si>
  <si>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</si>
  <si>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</si>
  <si>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</si>
  <si>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</si>
  <si>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</si>
  <si>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</si>
  <si>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</si>
  <si>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</si>
  <si>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</si>
  <si>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</si>
  <si>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</si>
  <si>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</si>
  <si>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</si>
  <si>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</si>
  <si>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</si>
  <si>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</si>
  <si>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</si>
  <si>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</si>
  <si>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</si>
  <si>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</si>
  <si>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</si>
  <si>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</si>
  <si>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</si>
  <si>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</si>
  <si>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</si>
  <si>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</si>
  <si>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</si>
  <si>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</si>
  <si>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</si>
  <si>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</si>
  <si>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</si>
  <si>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</si>
  <si>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</si>
  <si>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</si>
  <si>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</si>
  <si>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</si>
  <si>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</si>
  <si>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</si>
  <si>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</si>
  <si>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</si>
  <si>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</si>
  <si>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</si>
  <si>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</si>
  <si>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</si>
  <si>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</si>
  <si>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</si>
  <si>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</si>
  <si>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</si>
  <si>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</si>
  <si>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</si>
  <si>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</si>
  <si>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</si>
  <si>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</si>
  <si>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</si>
  <si>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</si>
  <si>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</si>
  <si>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</si>
  <si>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</si>
  <si>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</si>
  <si>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</si>
  <si>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</si>
  <si>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</si>
  <si>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</si>
  <si>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</si>
  <si>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</si>
  <si>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</si>
  <si>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</si>
  <si>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</si>
  <si>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No Review</t>
  </si>
  <si>
    <t>No Rating</t>
  </si>
  <si>
    <t>Current price (Ksh)</t>
  </si>
  <si>
    <t>old price (Ksh)</t>
  </si>
  <si>
    <t>Rating (Out of 5)</t>
  </si>
  <si>
    <t>Absolute Discount(Ksh)</t>
  </si>
  <si>
    <t>Rating Category</t>
  </si>
  <si>
    <t>Discount Category</t>
  </si>
  <si>
    <t>AVERAGE</t>
  </si>
  <si>
    <t>MOST EXPENSIVE PRODUCT</t>
  </si>
  <si>
    <t>MOST EXPENSIVE PRICE</t>
  </si>
  <si>
    <t>LEAST EXPENSIVE PRODUCT</t>
  </si>
  <si>
    <t>LEAST EXPENSIVE PRICE</t>
  </si>
  <si>
    <t>Item</t>
  </si>
  <si>
    <t>Average for Medium Rating</t>
  </si>
  <si>
    <t>Average for High Rating</t>
  </si>
  <si>
    <t xml:space="preserve">Average for Low Rating </t>
  </si>
  <si>
    <t>Average for Low Discount</t>
  </si>
  <si>
    <t>Average for Medium Discount</t>
  </si>
  <si>
    <t>Average for High Discount</t>
  </si>
  <si>
    <t>Row Labels</t>
  </si>
  <si>
    <t>High discount</t>
  </si>
  <si>
    <t>Low discount</t>
  </si>
  <si>
    <t>Medium discount</t>
  </si>
  <si>
    <t>Grand Total</t>
  </si>
  <si>
    <t>Average of Discount</t>
  </si>
  <si>
    <t>Poor</t>
  </si>
  <si>
    <t>Average</t>
  </si>
  <si>
    <t>Excellent</t>
  </si>
  <si>
    <t>Average of Rating (Out of 5)</t>
  </si>
  <si>
    <r>
      <t>Jumia Orange (Primary):</t>
    </r>
    <r>
      <rPr>
        <sz val="11"/>
        <color theme="1"/>
        <rFont val="Calibri"/>
        <family val="2"/>
        <scheme val="minor"/>
      </rPr>
      <t xml:space="preserve"> </t>
    </r>
    <r>
      <rPr>
        <sz val="10"/>
        <color theme="1"/>
        <rFont val="Arial Unicode MS"/>
        <family val="2"/>
      </rPr>
      <t>#F68B1E</t>
    </r>
  </si>
  <si>
    <r>
      <t>Black:</t>
    </r>
    <r>
      <rPr>
        <sz val="11"/>
        <color theme="1"/>
        <rFont val="Calibri"/>
        <family val="2"/>
        <scheme val="minor"/>
      </rPr>
      <t xml:space="preserve"> </t>
    </r>
    <r>
      <rPr>
        <sz val="10"/>
        <color theme="1"/>
        <rFont val="Arial Unicode MS"/>
        <family val="2"/>
      </rPr>
      <t>#000000</t>
    </r>
  </si>
  <si>
    <r>
      <t>White:</t>
    </r>
    <r>
      <rPr>
        <sz val="11"/>
        <color theme="1"/>
        <rFont val="Calibri"/>
        <family val="2"/>
        <scheme val="minor"/>
      </rPr>
      <t xml:space="preserve"> </t>
    </r>
    <r>
      <rPr>
        <sz val="10"/>
        <color theme="1"/>
        <rFont val="Arial Unicode MS"/>
        <family val="2"/>
      </rPr>
      <t>#FFFFFF</t>
    </r>
  </si>
  <si>
    <r>
      <t>Light Grey (UI backgrounds):</t>
    </r>
    <r>
      <rPr>
        <sz val="11"/>
        <color theme="1"/>
        <rFont val="Calibri"/>
        <family val="2"/>
        <scheme val="minor"/>
      </rPr>
      <t xml:space="preserve"> </t>
    </r>
    <r>
      <rPr>
        <sz val="10"/>
        <color theme="1"/>
        <rFont val="Arial Unicode MS"/>
        <family val="2"/>
      </rPr>
      <t>#F2F2F2</t>
    </r>
  </si>
  <si>
    <r>
      <t>Dark Grey (text/icons):</t>
    </r>
    <r>
      <rPr>
        <sz val="11"/>
        <color theme="1"/>
        <rFont val="Calibri"/>
        <family val="2"/>
        <scheme val="minor"/>
      </rPr>
      <t xml:space="preserve"> </t>
    </r>
    <r>
      <rPr>
        <sz val="10"/>
        <color theme="1"/>
        <rFont val="Arial Unicode MS"/>
        <family val="2"/>
      </rPr>
      <t>#4A4A4A</t>
    </r>
  </si>
  <si>
    <t>Count of Review</t>
  </si>
  <si>
    <t>Sum of Rating (Out of 5)</t>
  </si>
  <si>
    <t>Sum of Review</t>
  </si>
  <si>
    <t>Unrated</t>
  </si>
  <si>
    <t>Sum of Discount</t>
  </si>
  <si>
    <t>Count of Rating (Out of 5)</t>
  </si>
  <si>
    <t xml:space="preserve"> </t>
  </si>
  <si>
    <t>TOTAL</t>
  </si>
  <si>
    <t>TOP 10 REVIEWED PRODCTS</t>
  </si>
  <si>
    <t>TOP 10 DISCOUNTED PRODUCTS</t>
  </si>
  <si>
    <t>BOTTOM 5 RATED PRODUCTS</t>
  </si>
  <si>
    <t>TOP 5 RATED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</si>
</sst>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
      <sz val="10"/>
      <color theme="1"/>
      <name val="Arial Unicode MS"/>
      <family val="2"/>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68B1E"/>
        <bgColor indexed="64"/>
      </patternFill>
    </fill>
    <fill>
      <patternFill patternType="solid">
        <fgColor rgb="FFF2F2F2"/>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9" fontId="0" fillId="0" borderId="0" xfId="0" applyNumberFormat="1"/>
    <xf numFmtId="49" fontId="0" fillId="0" borderId="0" xfId="0" applyNumberFormat="1"/>
    <xf numFmtId="1" fontId="0" fillId="0" borderId="0" xfId="0" applyNumberFormat="1"/>
    <xf numFmtId="0" fontId="18" fillId="0" borderId="0" xfId="0" applyFont="1" applyAlignment="1">
      <alignment wrapText="1"/>
    </xf>
    <xf numFmtId="0" fontId="0" fillId="0" borderId="0" xfId="0" applyAlignment="1">
      <alignment wrapText="1"/>
    </xf>
    <xf numFmtId="10" fontId="0" fillId="0" borderId="0" xfId="0" applyNumberFormat="1"/>
    <xf numFmtId="0" fontId="0" fillId="0" borderId="0" xfId="0" pivotButton="1"/>
    <xf numFmtId="0" fontId="0" fillId="0" borderId="0" xfId="0" applyAlignment="1">
      <alignment horizontal="left"/>
    </xf>
    <xf numFmtId="49" fontId="0" fillId="0" borderId="14" xfId="0" applyNumberFormat="1" applyBorder="1"/>
    <xf numFmtId="0" fontId="0" fillId="0" borderId="15" xfId="0" applyBorder="1"/>
    <xf numFmtId="49" fontId="0" fillId="0" borderId="16" xfId="0" applyNumberFormat="1" applyBorder="1"/>
    <xf numFmtId="1" fontId="0" fillId="0" borderId="17" xfId="0" applyNumberFormat="1" applyBorder="1"/>
    <xf numFmtId="9" fontId="0" fillId="0" borderId="17" xfId="0" applyNumberFormat="1" applyBorder="1"/>
    <xf numFmtId="0" fontId="0" fillId="0" borderId="18" xfId="0" applyBorder="1"/>
    <xf numFmtId="49" fontId="18" fillId="33" borderId="19" xfId="0" applyNumberFormat="1" applyFont="1" applyFill="1" applyBorder="1" applyAlignment="1">
      <alignment wrapText="1"/>
    </xf>
    <xf numFmtId="1" fontId="18" fillId="33" borderId="20" xfId="0" applyNumberFormat="1" applyFont="1" applyFill="1" applyBorder="1" applyAlignment="1">
      <alignment wrapText="1"/>
    </xf>
    <xf numFmtId="9" fontId="18" fillId="33" borderId="20" xfId="0" applyNumberFormat="1" applyFont="1" applyFill="1" applyBorder="1" applyAlignment="1">
      <alignment wrapText="1"/>
    </xf>
    <xf numFmtId="49" fontId="18" fillId="33" borderId="10" xfId="0" applyNumberFormat="1" applyFont="1" applyFill="1" applyBorder="1" applyAlignment="1">
      <alignment wrapText="1"/>
    </xf>
    <xf numFmtId="1" fontId="18" fillId="33" borderId="10" xfId="0" applyNumberFormat="1" applyFont="1" applyFill="1" applyBorder="1" applyAlignment="1">
      <alignment wrapText="1"/>
    </xf>
    <xf numFmtId="9" fontId="18" fillId="33" borderId="10" xfId="0" applyNumberFormat="1" applyFont="1" applyFill="1" applyBorder="1" applyAlignment="1">
      <alignment wrapText="1"/>
    </xf>
    <xf numFmtId="0" fontId="18" fillId="33" borderId="10" xfId="0" applyFont="1" applyFill="1" applyBorder="1" applyAlignment="1">
      <alignment wrapText="1"/>
    </xf>
    <xf numFmtId="9" fontId="0" fillId="0" borderId="0" xfId="0" applyNumberFormat="1" applyAlignment="1">
      <alignment horizontal="left"/>
    </xf>
    <xf numFmtId="164" fontId="0" fillId="0" borderId="0" xfId="0" applyNumberFormat="1"/>
    <xf numFmtId="164" fontId="0" fillId="0" borderId="17" xfId="0" applyNumberFormat="1" applyBorder="1"/>
    <xf numFmtId="164" fontId="0" fillId="0" borderId="21" xfId="0" applyNumberFormat="1" applyBorder="1"/>
    <xf numFmtId="164" fontId="0" fillId="0" borderId="22" xfId="0" applyNumberFormat="1" applyBorder="1"/>
    <xf numFmtId="0" fontId="0" fillId="34" borderId="0" xfId="0" applyFill="1"/>
    <xf numFmtId="0" fontId="0" fillId="34" borderId="11" xfId="0" applyFill="1" applyBorder="1"/>
    <xf numFmtId="0" fontId="0" fillId="34" borderId="12" xfId="0" applyFill="1" applyBorder="1"/>
    <xf numFmtId="0" fontId="0" fillId="34" borderId="13" xfId="0" applyFill="1" applyBorder="1"/>
    <xf numFmtId="0" fontId="0" fillId="34" borderId="14" xfId="0" applyFill="1" applyBorder="1"/>
    <xf numFmtId="0" fontId="0" fillId="34" borderId="15" xfId="0" applyFill="1" applyBorder="1"/>
    <xf numFmtId="0" fontId="0" fillId="34" borderId="16" xfId="0" applyFill="1" applyBorder="1"/>
    <xf numFmtId="0" fontId="0" fillId="34" borderId="17" xfId="0" applyFill="1" applyBorder="1"/>
    <xf numFmtId="0" fontId="0" fillId="34" borderId="18" xfId="0" applyFill="1" applyBorder="1"/>
    <xf numFmtId="49" fontId="0" fillId="0" borderId="21" xfId="0" applyNumberFormat="1" applyBorder="1"/>
    <xf numFmtId="49" fontId="0" fillId="0" borderId="22" xfId="0" applyNumberFormat="1" applyBorder="1"/>
    <xf numFmtId="9" fontId="0" fillId="0" borderId="21" xfId="0" applyNumberFormat="1" applyBorder="1"/>
    <xf numFmtId="9" fontId="0" fillId="0" borderId="22" xfId="0" applyNumberFormat="1" applyBorder="1"/>
    <xf numFmtId="0" fontId="0" fillId="0" borderId="0" xfId="0" applyAlignment="1">
      <alignment horizontal="left" indent="1"/>
    </xf>
    <xf numFmtId="0" fontId="16" fillId="0" borderId="0" xfId="0" applyFont="1" applyAlignment="1">
      <alignment horizontal="center"/>
    </xf>
    <xf numFmtId="0" fontId="0" fillId="0" borderId="0" xfId="0" applyNumberFormat="1"/>
    <xf numFmtId="49" fontId="16" fillId="0" borderId="0" xfId="0" applyNumberFormat="1" applyFont="1"/>
    <xf numFmtId="0" fontId="20" fillId="0" borderId="0" xfId="0" applyFont="1" applyAlignment="1">
      <alignment horizontal="center"/>
    </xf>
    <xf numFmtId="49" fontId="20" fillId="0" borderId="0" xfId="0" applyNumberFormat="1"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rgb="FFF68B1E"/>
        </patternFill>
      </fill>
    </dxf>
  </dxfs>
  <tableStyles count="1" defaultTableStyle="TableStyleMedium2" defaultPivotStyle="PivotStyleLight16">
    <tableStyle name="Slicer Style 1" pivot="0" table="0" count="1" xr9:uid="{59BDA09A-6ED7-43F5-B161-08532A3DCBE6}">
      <tableStyleElement type="wholeTable" dxfId="0"/>
    </tableStyle>
  </tableStyles>
  <colors>
    <mruColors>
      <color rgb="FF4A4A4A"/>
      <color rgb="FFF68B1E"/>
      <color rgb="FFF2F2F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ANALYSIS.xlsx]Average of Discount Categories!PivotTable1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of Discount Categories'!$B$1</c:f>
              <c:strCache>
                <c:ptCount val="1"/>
                <c:pt idx="0">
                  <c:v>Total</c:v>
                </c:pt>
              </c:strCache>
            </c:strRef>
          </c:tx>
          <c:spPr>
            <a:solidFill>
              <a:srgbClr val="F68B1E"/>
            </a:solidFill>
            <a:ln>
              <a:noFill/>
            </a:ln>
            <a:effectLst/>
          </c:spPr>
          <c:invertIfNegative val="0"/>
          <c:cat>
            <c:strRef>
              <c:f>'Average of Discount Categories'!$A$2:$A$5</c:f>
              <c:strCache>
                <c:ptCount val="3"/>
                <c:pt idx="0">
                  <c:v>High discount</c:v>
                </c:pt>
                <c:pt idx="1">
                  <c:v>Low discount</c:v>
                </c:pt>
                <c:pt idx="2">
                  <c:v>Medium discount</c:v>
                </c:pt>
              </c:strCache>
            </c:strRef>
          </c:cat>
          <c:val>
            <c:numRef>
              <c:f>'Average of Discount Categories'!$B$2:$B$5</c:f>
              <c:numCache>
                <c:formatCode>0%</c:formatCode>
                <c:ptCount val="3"/>
                <c:pt idx="0">
                  <c:v>0.48206349206349181</c:v>
                </c:pt>
                <c:pt idx="1">
                  <c:v>7.2222222222222243E-2</c:v>
                </c:pt>
                <c:pt idx="2">
                  <c:v>0.30709677419354831</c:v>
                </c:pt>
              </c:numCache>
            </c:numRef>
          </c:val>
          <c:extLst>
            <c:ext xmlns:c16="http://schemas.microsoft.com/office/drawing/2014/chart" uri="{C3380CC4-5D6E-409C-BE32-E72D297353CC}">
              <c16:uniqueId val="{00000002-0610-4B7C-B47F-50AEA47B2560}"/>
            </c:ext>
          </c:extLst>
        </c:ser>
        <c:dLbls>
          <c:showLegendKey val="0"/>
          <c:showVal val="0"/>
          <c:showCatName val="0"/>
          <c:showSerName val="0"/>
          <c:showPercent val="0"/>
          <c:showBubbleSize val="0"/>
        </c:dLbls>
        <c:gapWidth val="219"/>
        <c:overlap val="-27"/>
        <c:axId val="511725408"/>
        <c:axId val="511726128"/>
      </c:barChart>
      <c:catAx>
        <c:axId val="51172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1726128"/>
        <c:crosses val="autoZero"/>
        <c:auto val="1"/>
        <c:lblAlgn val="ctr"/>
        <c:lblOffset val="100"/>
        <c:noMultiLvlLbl val="0"/>
      </c:catAx>
      <c:valAx>
        <c:axId val="5117261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172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ANALYSIS.xlsx]Average of Rating Categories!PivotTable2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of Rating Categories'!$B$1</c:f>
              <c:strCache>
                <c:ptCount val="1"/>
                <c:pt idx="0">
                  <c:v>Total</c:v>
                </c:pt>
              </c:strCache>
            </c:strRef>
          </c:tx>
          <c:spPr>
            <a:solidFill>
              <a:srgbClr val="F68B1E"/>
            </a:solidFill>
            <a:ln>
              <a:noFill/>
            </a:ln>
            <a:effectLst/>
          </c:spPr>
          <c:invertIfNegative val="0"/>
          <c:cat>
            <c:strRef>
              <c:f>'Average of Rating Categories'!$A$2:$A$5</c:f>
              <c:strCache>
                <c:ptCount val="3"/>
                <c:pt idx="0">
                  <c:v>Average</c:v>
                </c:pt>
                <c:pt idx="1">
                  <c:v>Excellent</c:v>
                </c:pt>
                <c:pt idx="2">
                  <c:v>Poor</c:v>
                </c:pt>
              </c:strCache>
            </c:strRef>
          </c:cat>
          <c:val>
            <c:numRef>
              <c:f>'Average of Rating Categories'!$B$2:$B$5</c:f>
              <c:numCache>
                <c:formatCode>General</c:formatCode>
                <c:ptCount val="3"/>
                <c:pt idx="0">
                  <c:v>3.8090909090909082</c:v>
                </c:pt>
                <c:pt idx="1">
                  <c:v>4.7478260869565219</c:v>
                </c:pt>
                <c:pt idx="2">
                  <c:v>2.3916666666666666</c:v>
                </c:pt>
              </c:numCache>
            </c:numRef>
          </c:val>
          <c:extLst>
            <c:ext xmlns:c16="http://schemas.microsoft.com/office/drawing/2014/chart" uri="{C3380CC4-5D6E-409C-BE32-E72D297353CC}">
              <c16:uniqueId val="{00000000-D444-4AEE-BB6E-951C6C05EAD2}"/>
            </c:ext>
          </c:extLst>
        </c:ser>
        <c:dLbls>
          <c:showLegendKey val="0"/>
          <c:showVal val="0"/>
          <c:showCatName val="0"/>
          <c:showSerName val="0"/>
          <c:showPercent val="0"/>
          <c:showBubbleSize val="0"/>
        </c:dLbls>
        <c:gapWidth val="219"/>
        <c:overlap val="-27"/>
        <c:axId val="368634112"/>
        <c:axId val="368634472"/>
      </c:barChart>
      <c:catAx>
        <c:axId val="36863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68634472"/>
        <c:crosses val="autoZero"/>
        <c:auto val="1"/>
        <c:lblAlgn val="ctr"/>
        <c:lblOffset val="100"/>
        <c:noMultiLvlLbl val="0"/>
      </c:catAx>
      <c:valAx>
        <c:axId val="368634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6863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ANALYSIS.xlsx]Discount % x Reviews!PivotTable7</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0" i="0" u="none" strike="noStrike" baseline="0">
                <a:solidFill>
                  <a:sysClr val="windowText" lastClr="000000"/>
                </a:solidFill>
                <a:effectLst/>
              </a:rPr>
              <a:t>The relationship between </a:t>
            </a:r>
            <a:r>
              <a:rPr lang="en-US" sz="1400" b="1" i="0" u="none" strike="noStrike" baseline="0">
                <a:solidFill>
                  <a:sysClr val="windowText" lastClr="000000"/>
                </a:solidFill>
                <a:effectLst/>
              </a:rPr>
              <a:t>discount percentage</a:t>
            </a:r>
            <a:r>
              <a:rPr lang="en-US" sz="1400" b="0" i="0" u="none" strike="noStrike" baseline="0">
                <a:solidFill>
                  <a:sysClr val="windowText" lastClr="000000"/>
                </a:solidFill>
                <a:effectLst/>
              </a:rPr>
              <a:t> and </a:t>
            </a:r>
            <a:r>
              <a:rPr lang="en-US" sz="1400" b="1" i="0" u="none" strike="noStrike" baseline="0">
                <a:solidFill>
                  <a:sysClr val="windowText" lastClr="000000"/>
                </a:solidFill>
                <a:effectLst/>
              </a:rPr>
              <a:t>number of reviews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68B1E"/>
            </a:solidFill>
            <a:round/>
          </a:ln>
          <a:effectLst/>
        </c:spPr>
        <c:marker>
          <c:symbol val="circle"/>
          <c:size val="5"/>
          <c:spPr>
            <a:solidFill>
              <a:srgbClr val="F68B1E"/>
            </a:solidFill>
            <a:ln w="9525">
              <a:solidFill>
                <a:srgbClr val="F68B1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 x Reviews'!$B$1</c:f>
              <c:strCache>
                <c:ptCount val="1"/>
                <c:pt idx="0">
                  <c:v>Total</c:v>
                </c:pt>
              </c:strCache>
            </c:strRef>
          </c:tx>
          <c:spPr>
            <a:ln w="28575" cap="rnd">
              <a:solidFill>
                <a:srgbClr val="F68B1E"/>
              </a:solidFill>
              <a:round/>
            </a:ln>
            <a:effectLst/>
          </c:spPr>
          <c:marker>
            <c:symbol val="circle"/>
            <c:size val="5"/>
            <c:spPr>
              <a:solidFill>
                <a:srgbClr val="F68B1E"/>
              </a:solidFill>
              <a:ln w="9525">
                <a:solidFill>
                  <a:srgbClr val="F68B1E"/>
                </a:solidFill>
              </a:ln>
              <a:effectLst/>
            </c:spPr>
          </c:marker>
          <c:cat>
            <c:strRef>
              <c:f>'Discount % x Reviews'!$A$2:$A$48</c:f>
              <c:strCache>
                <c:ptCount val="46"/>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pt idx="45">
                  <c:v>64%</c:v>
                </c:pt>
              </c:strCache>
            </c:strRef>
          </c:cat>
          <c:val>
            <c:numRef>
              <c:f>'Discount % x Reviews'!$B$2:$B$48</c:f>
              <c:numCache>
                <c:formatCode>General</c:formatCode>
                <c:ptCount val="46"/>
                <c:pt idx="0">
                  <c:v>1</c:v>
                </c:pt>
                <c:pt idx="1">
                  <c:v>6</c:v>
                </c:pt>
                <c:pt idx="2">
                  <c:v>1</c:v>
                </c:pt>
                <c:pt idx="3">
                  <c:v>2</c:v>
                </c:pt>
                <c:pt idx="4">
                  <c:v>1</c:v>
                </c:pt>
                <c:pt idx="5">
                  <c:v>1</c:v>
                </c:pt>
                <c:pt idx="6">
                  <c:v>1</c:v>
                </c:pt>
                <c:pt idx="7">
                  <c:v>1</c:v>
                </c:pt>
                <c:pt idx="8">
                  <c:v>2</c:v>
                </c:pt>
                <c:pt idx="9">
                  <c:v>1</c:v>
                </c:pt>
                <c:pt idx="10">
                  <c:v>1</c:v>
                </c:pt>
                <c:pt idx="11">
                  <c:v>1</c:v>
                </c:pt>
                <c:pt idx="12">
                  <c:v>1</c:v>
                </c:pt>
                <c:pt idx="13">
                  <c:v>2</c:v>
                </c:pt>
                <c:pt idx="14">
                  <c:v>1</c:v>
                </c:pt>
                <c:pt idx="15">
                  <c:v>2</c:v>
                </c:pt>
                <c:pt idx="16">
                  <c:v>1</c:v>
                </c:pt>
                <c:pt idx="17">
                  <c:v>1</c:v>
                </c:pt>
                <c:pt idx="18">
                  <c:v>3</c:v>
                </c:pt>
                <c:pt idx="19">
                  <c:v>1</c:v>
                </c:pt>
                <c:pt idx="20">
                  <c:v>1</c:v>
                </c:pt>
                <c:pt idx="21">
                  <c:v>1</c:v>
                </c:pt>
                <c:pt idx="22">
                  <c:v>2</c:v>
                </c:pt>
                <c:pt idx="23">
                  <c:v>4</c:v>
                </c:pt>
                <c:pt idx="24">
                  <c:v>2</c:v>
                </c:pt>
                <c:pt idx="25">
                  <c:v>1</c:v>
                </c:pt>
                <c:pt idx="26">
                  <c:v>2</c:v>
                </c:pt>
                <c:pt idx="27">
                  <c:v>4</c:v>
                </c:pt>
                <c:pt idx="28">
                  <c:v>1</c:v>
                </c:pt>
                <c:pt idx="29">
                  <c:v>1</c:v>
                </c:pt>
                <c:pt idx="30">
                  <c:v>3</c:v>
                </c:pt>
                <c:pt idx="31">
                  <c:v>4</c:v>
                </c:pt>
                <c:pt idx="32">
                  <c:v>4</c:v>
                </c:pt>
                <c:pt idx="33">
                  <c:v>4</c:v>
                </c:pt>
                <c:pt idx="34">
                  <c:v>3</c:v>
                </c:pt>
                <c:pt idx="35">
                  <c:v>7</c:v>
                </c:pt>
                <c:pt idx="36">
                  <c:v>4</c:v>
                </c:pt>
                <c:pt idx="37">
                  <c:v>14</c:v>
                </c:pt>
                <c:pt idx="38">
                  <c:v>7</c:v>
                </c:pt>
                <c:pt idx="39">
                  <c:v>1</c:v>
                </c:pt>
                <c:pt idx="40">
                  <c:v>2</c:v>
                </c:pt>
                <c:pt idx="41">
                  <c:v>2</c:v>
                </c:pt>
                <c:pt idx="42">
                  <c:v>2</c:v>
                </c:pt>
                <c:pt idx="43">
                  <c:v>3</c:v>
                </c:pt>
                <c:pt idx="44">
                  <c:v>1</c:v>
                </c:pt>
                <c:pt idx="45">
                  <c:v>1</c:v>
                </c:pt>
              </c:numCache>
            </c:numRef>
          </c:val>
          <c:smooth val="0"/>
          <c:extLst>
            <c:ext xmlns:c16="http://schemas.microsoft.com/office/drawing/2014/chart" uri="{C3380CC4-5D6E-409C-BE32-E72D297353CC}">
              <c16:uniqueId val="{00000004-AEEC-463B-93C5-132359F547DD}"/>
            </c:ext>
          </c:extLst>
        </c:ser>
        <c:dLbls>
          <c:showLegendKey val="0"/>
          <c:showVal val="0"/>
          <c:showCatName val="0"/>
          <c:showSerName val="0"/>
          <c:showPercent val="0"/>
          <c:showBubbleSize val="0"/>
        </c:dLbls>
        <c:marker val="1"/>
        <c:smooth val="0"/>
        <c:axId val="557812240"/>
        <c:axId val="557811160"/>
      </c:lineChart>
      <c:catAx>
        <c:axId val="55781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57811160"/>
        <c:crosses val="autoZero"/>
        <c:auto val="1"/>
        <c:lblAlgn val="ctr"/>
        <c:lblOffset val="100"/>
        <c:noMultiLvlLbl val="0"/>
      </c:catAx>
      <c:valAx>
        <c:axId val="557811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5781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ANALYSIS.xlsx]Rating X Number of reviews!PivotTable8</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0" i="0" u="none" strike="noStrike" baseline="0">
                <a:solidFill>
                  <a:sysClr val="windowText" lastClr="000000"/>
                </a:solidFill>
                <a:effectLst/>
              </a:rPr>
              <a:t>The relationship between </a:t>
            </a:r>
            <a:r>
              <a:rPr lang="en-US" sz="1400" b="1" i="0" u="none" strike="noStrike" baseline="0">
                <a:solidFill>
                  <a:sysClr val="windowText" lastClr="000000"/>
                </a:solidFill>
                <a:effectLst/>
              </a:rPr>
              <a:t>rating</a:t>
            </a:r>
            <a:r>
              <a:rPr lang="en-US" sz="1400" b="0" i="0" u="none" strike="noStrike" baseline="0">
                <a:solidFill>
                  <a:sysClr val="windowText" lastClr="000000"/>
                </a:solidFill>
                <a:effectLst/>
              </a:rPr>
              <a:t> and </a:t>
            </a:r>
            <a:r>
              <a:rPr lang="en-US" sz="1400" b="1" i="0" u="none" strike="noStrike" baseline="0">
                <a:solidFill>
                  <a:sysClr val="windowText" lastClr="000000"/>
                </a:solidFill>
                <a:effectLst/>
              </a:rPr>
              <a:t>number of reviews</a:t>
            </a:r>
            <a:r>
              <a:rPr lang="en-US" sz="1400" b="0" i="0" u="none" strike="noStrike" baseline="0">
                <a:solidFill>
                  <a:sysClr val="windowText" lastClr="000000"/>
                </a:solidFill>
                <a:effectLst/>
              </a:rPr>
              <a:t>. </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68B1E"/>
            </a:solidFill>
            <a:round/>
          </a:ln>
          <a:effectLst/>
        </c:spPr>
        <c:marker>
          <c:symbol val="circle"/>
          <c:size val="5"/>
          <c:spPr>
            <a:solidFill>
              <a:srgbClr val="F68B1E"/>
            </a:solidFill>
            <a:ln w="9525">
              <a:solidFill>
                <a:srgbClr val="F68B1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X Number of reviews'!$B$1</c:f>
              <c:strCache>
                <c:ptCount val="1"/>
                <c:pt idx="0">
                  <c:v>Total</c:v>
                </c:pt>
              </c:strCache>
            </c:strRef>
          </c:tx>
          <c:spPr>
            <a:ln w="28575" cap="rnd">
              <a:solidFill>
                <a:srgbClr val="F68B1E"/>
              </a:solidFill>
              <a:round/>
            </a:ln>
            <a:effectLst/>
          </c:spPr>
          <c:marker>
            <c:symbol val="circle"/>
            <c:size val="5"/>
            <c:spPr>
              <a:solidFill>
                <a:srgbClr val="F68B1E"/>
              </a:solidFill>
              <a:ln w="9525">
                <a:solidFill>
                  <a:srgbClr val="F68B1E"/>
                </a:solidFill>
              </a:ln>
              <a:effectLst/>
            </c:spPr>
          </c:marker>
          <c:cat>
            <c:strRef>
              <c:f>'Rating X Number of reviews'!$A$2:$A$24</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'Rating X Number of reviews'!$B$2:$B$24</c:f>
              <c:numCache>
                <c:formatCode>General</c:formatCode>
                <c:ptCount val="22"/>
                <c:pt idx="0">
                  <c:v>1</c:v>
                </c:pt>
                <c:pt idx="1">
                  <c:v>2</c:v>
                </c:pt>
                <c:pt idx="2">
                  <c:v>2</c:v>
                </c:pt>
                <c:pt idx="3">
                  <c:v>2</c:v>
                </c:pt>
                <c:pt idx="4">
                  <c:v>1</c:v>
                </c:pt>
                <c:pt idx="5">
                  <c:v>1</c:v>
                </c:pt>
                <c:pt idx="6">
                  <c:v>1</c:v>
                </c:pt>
                <c:pt idx="7">
                  <c:v>1</c:v>
                </c:pt>
                <c:pt idx="8">
                  <c:v>1</c:v>
                </c:pt>
                <c:pt idx="9">
                  <c:v>5</c:v>
                </c:pt>
                <c:pt idx="10">
                  <c:v>1</c:v>
                </c:pt>
                <c:pt idx="11">
                  <c:v>3</c:v>
                </c:pt>
                <c:pt idx="12">
                  <c:v>4</c:v>
                </c:pt>
                <c:pt idx="13">
                  <c:v>3</c:v>
                </c:pt>
                <c:pt idx="14">
                  <c:v>1</c:v>
                </c:pt>
                <c:pt idx="15">
                  <c:v>4</c:v>
                </c:pt>
                <c:pt idx="16">
                  <c:v>1</c:v>
                </c:pt>
                <c:pt idx="17">
                  <c:v>4</c:v>
                </c:pt>
                <c:pt idx="18">
                  <c:v>5</c:v>
                </c:pt>
                <c:pt idx="19">
                  <c:v>4</c:v>
                </c:pt>
                <c:pt idx="20">
                  <c:v>3</c:v>
                </c:pt>
                <c:pt idx="21">
                  <c:v>7</c:v>
                </c:pt>
              </c:numCache>
            </c:numRef>
          </c:val>
          <c:smooth val="0"/>
          <c:extLst>
            <c:ext xmlns:c16="http://schemas.microsoft.com/office/drawing/2014/chart" uri="{C3380CC4-5D6E-409C-BE32-E72D297353CC}">
              <c16:uniqueId val="{00000004-3FFB-4884-AEA7-3B2DFA880E76}"/>
            </c:ext>
          </c:extLst>
        </c:ser>
        <c:dLbls>
          <c:showLegendKey val="0"/>
          <c:showVal val="0"/>
          <c:showCatName val="0"/>
          <c:showSerName val="0"/>
          <c:showPercent val="0"/>
          <c:showBubbleSize val="0"/>
        </c:dLbls>
        <c:marker val="1"/>
        <c:smooth val="0"/>
        <c:axId val="557711424"/>
        <c:axId val="557712864"/>
      </c:lineChart>
      <c:catAx>
        <c:axId val="55771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57712864"/>
        <c:crosses val="autoZero"/>
        <c:auto val="1"/>
        <c:lblAlgn val="ctr"/>
        <c:lblOffset val="100"/>
        <c:noMultiLvlLbl val="0"/>
      </c:catAx>
      <c:valAx>
        <c:axId val="55771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5771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ANALYSIS.xlsx]Top 5 Rated Products!PivotTable9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Rated Products'!$C$3</c:f>
              <c:strCache>
                <c:ptCount val="1"/>
                <c:pt idx="0">
                  <c:v>Total</c:v>
                </c:pt>
              </c:strCache>
            </c:strRef>
          </c:tx>
          <c:spPr>
            <a:solidFill>
              <a:srgbClr val="F68B1E"/>
            </a:solidFill>
            <a:ln>
              <a:noFill/>
            </a:ln>
            <a:effectLst/>
          </c:spPr>
          <c:invertIfNegative val="0"/>
          <c:cat>
            <c:strRef>
              <c:f>'Top 5 Rated Products'!$B$4:$B$113</c:f>
              <c:strCache>
                <c:ptCount val="109"/>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Wall-mounted Sundries Organiser Fabric Closet Bag Storage Rack</c:v>
                </c:pt>
                <c:pt idx="13">
                  <c:v>2PCS Ice Silk Square Cushion Cover Pillowcases - 65x65cm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Pieces/set Of Stainless Steel Induction Cooker Pots</c:v>
                </c:pt>
                <c:pt idx="26">
                  <c:v>52 Pieces Cake Decorating Tool Set Gift Kit Baking Supplies</c:v>
                </c:pt>
                <c:pt idx="27">
                  <c:v>53 Pieces/Set Yarn Knitting Crochet Hooks With Bag - Pansies</c:v>
                </c:pt>
                <c:pt idx="28">
                  <c:v>53Pcs/Set Yarn Knitting Crochet Hooks With Bag - Fortune Cat</c:v>
                </c:pt>
                <c:pt idx="29">
                  <c:v>5m Waterproof Spherical LED String Lights Outdoor Ball Chain Lights Party Lighting Decoration Adjustable</c:v>
                </c:pt>
                <c:pt idx="30">
                  <c:v>5-PCS Stainless Steel Cooking Pot Set With Steamed Slices</c:v>
                </c:pt>
                <c:pt idx="31">
                  <c:v>6 In 1 Bottle Can Opener Multifunctional Easy Opener</c:v>
                </c:pt>
                <c:pt idx="32">
                  <c:v>6 Layers Steel Pipe Assembling Dustproof Storage Shoe Cabinet</c:v>
                </c:pt>
                <c:pt idx="33">
                  <c:v>60W Hot Melt Glue Sprayer - Efficient And Stable Glue Dispensing</c:v>
                </c:pt>
                <c:pt idx="34">
                  <c:v>7PCS Silicone Thumb Knife Finger Protector Vegetable Harvesting Knife</c:v>
                </c:pt>
                <c:pt idx="35">
                  <c:v>7-piece Set Of Storage Bags, Travel Storage Bags, Shoe Bags</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24-hour Heat Preservation,1.5L,800W, White</c:v>
                </c:pt>
                <c:pt idx="66">
                  <c:v>Large Lazy Inflatable Sofa Chairs PVC Lounger Seat Bag</c:v>
                </c:pt>
                <c:pt idx="67">
                  <c:v>LASA 3 Tier Bamboo Shoe Bench Storage Shelf</c:v>
                </c:pt>
                <c:pt idx="68">
                  <c:v>LASA Aluminum Folding Truck Hand Cart - 68kg Max</c:v>
                </c:pt>
                <c:pt idx="69">
                  <c:v>LASA Digital Thermometer And Hydrometer</c:v>
                </c:pt>
                <c:pt idx="70">
                  <c:v>LASA FOLDING TABLE SERVING STAND</c:v>
                </c:pt>
                <c:pt idx="71">
                  <c:v>LASA Stainless Steel Double Wall Mount Soap Dispenser - 500ml</c:v>
                </c:pt>
                <c:pt idx="72">
                  <c:v>LED Eye Protection  Desk Lamp , Study, Reading, USB Fan - Double Pen Holder</c:v>
                </c:pt>
                <c:pt idx="73">
                  <c:v>LED Romantic Spaceship Starry Sky Projector,Children's Bedroom Night Light-Blue</c:v>
                </c:pt>
                <c:pt idx="74">
                  <c:v>LED Solar Street Light-fake Camera</c:v>
                </c:pt>
                <c:pt idx="75">
                  <c:v>LED Wall Digital Alarm Clock Study Home 12 / 24H Clock Calendar</c:v>
                </c:pt>
                <c:pt idx="76">
                  <c:v>Memory Foam Neck Pillow Cover, With Pillow Core - 50*30cm</c:v>
                </c:pt>
                <c:pt idx="77">
                  <c:v>Metal Decorative Hooks Key Hangers Entryway Wall Hooks Towel Hooks - Home</c:v>
                </c:pt>
                <c:pt idx="78">
                  <c:v>Metal Wall Clock Silver Dial Crystal Jewelry Round Home Decoration Wall Clock</c:v>
                </c:pt>
                <c:pt idx="79">
                  <c:v>Modern Sofa Throw Pillow Cover-45x45cm-Blue&amp;Red</c:v>
                </c:pt>
                <c:pt idx="80">
                  <c:v>Multifunction Laser Level With Adjustment Tripod</c:v>
                </c:pt>
                <c:pt idx="81">
                  <c:v>Multifunctional Hanging Storage Box Storage Bag (4 Layers)</c:v>
                </c:pt>
                <c:pt idx="82">
                  <c:v>MultiFunctional Storage Rack Multi-layer Bookshelf</c:v>
                </c:pt>
                <c:pt idx="83">
                  <c:v>Multi-purpose Rice Drainage Basket And Fruit And Vegetable Drainage Sieve</c:v>
                </c:pt>
                <c:pt idx="84">
                  <c:v>Mythco 120COB Solar Wall Ligt With Motion Sensor And Remote Control 3 Modes</c:v>
                </c:pt>
                <c:pt idx="85">
                  <c:v>Office Chair Lumbar Back Support Spine Posture Correction Pillow Car Cushion</c:v>
                </c:pt>
                <c:pt idx="86">
                  <c:v>Outdoor Portable Water Bottle With Medicine Box - 600ML -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3-Speed Fan - Green</c:v>
                </c:pt>
                <c:pt idx="91">
                  <c:v>Portable Mini Cordless Car Vacuum Cleaner - Blue</c:v>
                </c:pt>
                <c:pt idx="92">
                  <c:v>Portable Soap Dispenser Kitchen Detergent Press Box Kitchen Tools</c:v>
                </c:pt>
                <c:pt idx="93">
                  <c:v>Portable Wardrobe Nonwoven With 3 Hanging Rods And 6 Storage Shelves</c:v>
                </c:pt>
                <c:pt idx="94">
                  <c:v>Portable Wine Table With Folding Round Table</c:v>
                </c:pt>
                <c:pt idx="95">
                  <c:v>Punch-free Great Load Bearing Bathroom Storage Rack Wall Shelf-White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Wall-mounted Sticker Punch-free Plug Fixer</c:v>
                </c:pt>
                <c:pt idx="105">
                  <c:v>Wall-Mounted Toothbrush Toothpaste Holder With Multiple Slots</c:v>
                </c:pt>
                <c:pt idx="106">
                  <c:v>Watercolour Gold Foil Textured Print Pillow Cover</c:v>
                </c:pt>
                <c:pt idx="107">
                  <c:v>Weighing Scale Digital Bathroom Body Fat Scale USB-Black</c:v>
                </c:pt>
                <c:pt idx="108">
                  <c:v>Wrought Iron Bathroom Shelf Wall Mounted Free Punch Toilet Rack</c:v>
                </c:pt>
              </c:strCache>
            </c:strRef>
          </c:cat>
          <c:val>
            <c:numRef>
              <c:f>'Top 5 Rated Products'!$C$4:$C$113</c:f>
              <c:numCache>
                <c:formatCode>General</c:formatCode>
                <c:ptCount val="109"/>
                <c:pt idx="0">
                  <c:v>4.5</c:v>
                </c:pt>
                <c:pt idx="1">
                  <c:v>4.7</c:v>
                </c:pt>
                <c:pt idx="2">
                  <c:v>4.5</c:v>
                </c:pt>
                <c:pt idx="3">
                  <c:v>3.8</c:v>
                </c:pt>
                <c:pt idx="4">
                  <c:v>4.7</c:v>
                </c:pt>
                <c:pt idx="5">
                  <c:v>2.8</c:v>
                </c:pt>
                <c:pt idx="6">
                  <c:v>0</c:v>
                </c:pt>
                <c:pt idx="7">
                  <c:v>3.8</c:v>
                </c:pt>
                <c:pt idx="8">
                  <c:v>4.5999999999999996</c:v>
                </c:pt>
                <c:pt idx="9">
                  <c:v>0</c:v>
                </c:pt>
                <c:pt idx="10">
                  <c:v>0</c:v>
                </c:pt>
                <c:pt idx="11">
                  <c:v>4</c:v>
                </c:pt>
                <c:pt idx="12">
                  <c:v>0</c:v>
                </c:pt>
                <c:pt idx="13">
                  <c:v>0</c:v>
                </c:pt>
                <c:pt idx="14">
                  <c:v>0</c:v>
                </c:pt>
                <c:pt idx="15">
                  <c:v>0</c:v>
                </c:pt>
                <c:pt idx="16">
                  <c:v>3</c:v>
                </c:pt>
                <c:pt idx="17">
                  <c:v>2.2999999999999998</c:v>
                </c:pt>
                <c:pt idx="18">
                  <c:v>4.5999999999999996</c:v>
                </c:pt>
                <c:pt idx="19">
                  <c:v>0</c:v>
                </c:pt>
                <c:pt idx="20">
                  <c:v>3.3</c:v>
                </c:pt>
                <c:pt idx="21">
                  <c:v>0</c:v>
                </c:pt>
                <c:pt idx="22">
                  <c:v>4.8</c:v>
                </c:pt>
                <c:pt idx="23">
                  <c:v>0</c:v>
                </c:pt>
                <c:pt idx="24">
                  <c:v>0</c:v>
                </c:pt>
                <c:pt idx="25">
                  <c:v>2.5</c:v>
                </c:pt>
                <c:pt idx="26">
                  <c:v>4.0999999999999996</c:v>
                </c:pt>
                <c:pt idx="27">
                  <c:v>4.5</c:v>
                </c:pt>
                <c:pt idx="28">
                  <c:v>4.7</c:v>
                </c:pt>
                <c:pt idx="29">
                  <c:v>0</c:v>
                </c:pt>
                <c:pt idx="30">
                  <c:v>2.1</c:v>
                </c:pt>
                <c:pt idx="31">
                  <c:v>0</c:v>
                </c:pt>
                <c:pt idx="32">
                  <c:v>0</c:v>
                </c:pt>
                <c:pt idx="33">
                  <c:v>0</c:v>
                </c:pt>
                <c:pt idx="34">
                  <c:v>0</c:v>
                </c:pt>
                <c:pt idx="35">
                  <c:v>2.2000000000000002</c:v>
                </c:pt>
                <c:pt idx="36">
                  <c:v>0</c:v>
                </c:pt>
                <c:pt idx="37">
                  <c:v>0</c:v>
                </c:pt>
                <c:pt idx="38">
                  <c:v>2.6</c:v>
                </c:pt>
                <c:pt idx="39">
                  <c:v>0</c:v>
                </c:pt>
                <c:pt idx="40">
                  <c:v>5</c:v>
                </c:pt>
                <c:pt idx="41">
                  <c:v>2.2000000000000002</c:v>
                </c:pt>
                <c:pt idx="42">
                  <c:v>0</c:v>
                </c:pt>
                <c:pt idx="43">
                  <c:v>0</c:v>
                </c:pt>
                <c:pt idx="44">
                  <c:v>5</c:v>
                </c:pt>
                <c:pt idx="45">
                  <c:v>0</c:v>
                </c:pt>
                <c:pt idx="46">
                  <c:v>0</c:v>
                </c:pt>
                <c:pt idx="47">
                  <c:v>0</c:v>
                </c:pt>
                <c:pt idx="48">
                  <c:v>0</c:v>
                </c:pt>
                <c:pt idx="49">
                  <c:v>0</c:v>
                </c:pt>
                <c:pt idx="50">
                  <c:v>0</c:v>
                </c:pt>
                <c:pt idx="51">
                  <c:v>0</c:v>
                </c:pt>
                <c:pt idx="52">
                  <c:v>5</c:v>
                </c:pt>
                <c:pt idx="53">
                  <c:v>0</c:v>
                </c:pt>
                <c:pt idx="54">
                  <c:v>0</c:v>
                </c:pt>
                <c:pt idx="55">
                  <c:v>0</c:v>
                </c:pt>
                <c:pt idx="56">
                  <c:v>4</c:v>
                </c:pt>
                <c:pt idx="57">
                  <c:v>5</c:v>
                </c:pt>
                <c:pt idx="58">
                  <c:v>2.1</c:v>
                </c:pt>
                <c:pt idx="59">
                  <c:v>4.5999999999999996</c:v>
                </c:pt>
                <c:pt idx="60">
                  <c:v>4.3</c:v>
                </c:pt>
                <c:pt idx="61">
                  <c:v>4.4000000000000004</c:v>
                </c:pt>
                <c:pt idx="62">
                  <c:v>4.0999999999999996</c:v>
                </c:pt>
                <c:pt idx="63">
                  <c:v>4</c:v>
                </c:pt>
                <c:pt idx="64">
                  <c:v>2.7</c:v>
                </c:pt>
                <c:pt idx="65">
                  <c:v>5</c:v>
                </c:pt>
                <c:pt idx="66">
                  <c:v>3</c:v>
                </c:pt>
                <c:pt idx="67">
                  <c:v>4.3</c:v>
                </c:pt>
                <c:pt idx="68">
                  <c:v>5</c:v>
                </c:pt>
                <c:pt idx="69">
                  <c:v>4.5</c:v>
                </c:pt>
                <c:pt idx="70">
                  <c:v>4.8</c:v>
                </c:pt>
                <c:pt idx="71">
                  <c:v>0</c:v>
                </c:pt>
                <c:pt idx="72">
                  <c:v>4.3</c:v>
                </c:pt>
                <c:pt idx="73">
                  <c:v>4</c:v>
                </c:pt>
                <c:pt idx="74">
                  <c:v>0</c:v>
                </c:pt>
                <c:pt idx="75">
                  <c:v>4.5999999999999996</c:v>
                </c:pt>
                <c:pt idx="76">
                  <c:v>3</c:v>
                </c:pt>
                <c:pt idx="77">
                  <c:v>4.0999999999999996</c:v>
                </c:pt>
                <c:pt idx="78">
                  <c:v>0</c:v>
                </c:pt>
                <c:pt idx="79">
                  <c:v>0</c:v>
                </c:pt>
                <c:pt idx="80">
                  <c:v>4.2</c:v>
                </c:pt>
                <c:pt idx="81">
                  <c:v>0</c:v>
                </c:pt>
                <c:pt idx="82">
                  <c:v>0</c:v>
                </c:pt>
                <c:pt idx="83">
                  <c:v>0</c:v>
                </c:pt>
                <c:pt idx="84">
                  <c:v>3</c:v>
                </c:pt>
                <c:pt idx="85">
                  <c:v>0</c:v>
                </c:pt>
                <c:pt idx="86">
                  <c:v>0</c:v>
                </c:pt>
                <c:pt idx="87">
                  <c:v>5</c:v>
                </c:pt>
                <c:pt idx="88">
                  <c:v>0</c:v>
                </c:pt>
                <c:pt idx="89">
                  <c:v>0</c:v>
                </c:pt>
                <c:pt idx="90">
                  <c:v>4.8</c:v>
                </c:pt>
                <c:pt idx="91">
                  <c:v>4.5999999999999996</c:v>
                </c:pt>
                <c:pt idx="92">
                  <c:v>0</c:v>
                </c:pt>
                <c:pt idx="93">
                  <c:v>3.8</c:v>
                </c:pt>
                <c:pt idx="94">
                  <c:v>0</c:v>
                </c:pt>
                <c:pt idx="95">
                  <c:v>4.3</c:v>
                </c:pt>
                <c:pt idx="96">
                  <c:v>0</c:v>
                </c:pt>
                <c:pt idx="97">
                  <c:v>0</c:v>
                </c:pt>
                <c:pt idx="98">
                  <c:v>0</c:v>
                </c:pt>
                <c:pt idx="99">
                  <c:v>0</c:v>
                </c:pt>
                <c:pt idx="100">
                  <c:v>0</c:v>
                </c:pt>
                <c:pt idx="101">
                  <c:v>2.9</c:v>
                </c:pt>
                <c:pt idx="102">
                  <c:v>0</c:v>
                </c:pt>
                <c:pt idx="103">
                  <c:v>0</c:v>
                </c:pt>
                <c:pt idx="104">
                  <c:v>2</c:v>
                </c:pt>
                <c:pt idx="105">
                  <c:v>0</c:v>
                </c:pt>
                <c:pt idx="106">
                  <c:v>2.2999999999999998</c:v>
                </c:pt>
                <c:pt idx="107">
                  <c:v>4.7</c:v>
                </c:pt>
                <c:pt idx="108">
                  <c:v>3</c:v>
                </c:pt>
              </c:numCache>
            </c:numRef>
          </c:val>
          <c:extLst>
            <c:ext xmlns:c16="http://schemas.microsoft.com/office/drawing/2014/chart" uri="{C3380CC4-5D6E-409C-BE32-E72D297353CC}">
              <c16:uniqueId val="{00000000-07A5-4806-9DBA-363BB77EB54B}"/>
            </c:ext>
          </c:extLst>
        </c:ser>
        <c:dLbls>
          <c:showLegendKey val="0"/>
          <c:showVal val="0"/>
          <c:showCatName val="0"/>
          <c:showSerName val="0"/>
          <c:showPercent val="0"/>
          <c:showBubbleSize val="0"/>
        </c:dLbls>
        <c:gapWidth val="219"/>
        <c:overlap val="-27"/>
        <c:axId val="634259976"/>
        <c:axId val="634259256"/>
      </c:barChart>
      <c:catAx>
        <c:axId val="634259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34259256"/>
        <c:crosses val="autoZero"/>
        <c:auto val="1"/>
        <c:lblAlgn val="ctr"/>
        <c:lblOffset val="100"/>
        <c:noMultiLvlLbl val="0"/>
      </c:catAx>
      <c:valAx>
        <c:axId val="634259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34259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ANALYSIS.xlsx]Bottom 5 Rated Products!PivotTable10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'Bottom 5 Rated Products'!$C$62</c:f>
              <c:strCache>
                <c:ptCount val="1"/>
                <c:pt idx="0">
                  <c:v>Total</c:v>
                </c:pt>
              </c:strCache>
            </c:strRef>
          </c:tx>
          <c:spPr>
            <a:solidFill>
              <a:srgbClr val="F68B1E"/>
            </a:solidFill>
            <a:ln>
              <a:noFill/>
            </a:ln>
            <a:effectLst/>
          </c:spPr>
          <c:invertIfNegative val="0"/>
          <c:cat>
            <c:strRef>
              <c:f>'Bottom 5 Rated Products'!$B$63:$B$68</c:f>
              <c:strCache>
                <c:ptCount val="5"/>
                <c:pt idx="0">
                  <c:v>5-PCS Stainless Steel Cooking Pot Set With Steamed Slices</c:v>
                </c:pt>
                <c:pt idx="1">
                  <c:v>7-piece Set Of Storage Bags, Travel Storage Bags, Shoe Bags</c:v>
                </c:pt>
                <c:pt idx="2">
                  <c:v>Artificial Potted Flowers Room Decorative Flowers (2 Pieces)</c:v>
                </c:pt>
                <c:pt idx="3">
                  <c:v>Electric LED UV Mosquito Killer Lamp, Outdoor/Indoor Fly Killer Trap Light -USB</c:v>
                </c:pt>
                <c:pt idx="4">
                  <c:v>Wall-mounted Sticker Punch-free Plug Fixer</c:v>
                </c:pt>
              </c:strCache>
            </c:strRef>
          </c:cat>
          <c:val>
            <c:numRef>
              <c:f>'Bottom 5 Rated Products'!$C$63:$C$68</c:f>
              <c:numCache>
                <c:formatCode>0.0</c:formatCode>
                <c:ptCount val="5"/>
                <c:pt idx="0">
                  <c:v>2.1</c:v>
                </c:pt>
                <c:pt idx="1">
                  <c:v>2.2000000000000002</c:v>
                </c:pt>
                <c:pt idx="2">
                  <c:v>2.2000000000000002</c:v>
                </c:pt>
                <c:pt idx="3">
                  <c:v>2.1</c:v>
                </c:pt>
                <c:pt idx="4">
                  <c:v>2</c:v>
                </c:pt>
              </c:numCache>
            </c:numRef>
          </c:val>
          <c:extLst>
            <c:ext xmlns:c16="http://schemas.microsoft.com/office/drawing/2014/chart" uri="{C3380CC4-5D6E-409C-BE32-E72D297353CC}">
              <c16:uniqueId val="{00000000-8ED5-41B6-8560-D78D6CD181D9}"/>
            </c:ext>
          </c:extLst>
        </c:ser>
        <c:dLbls>
          <c:showLegendKey val="0"/>
          <c:showVal val="0"/>
          <c:showCatName val="0"/>
          <c:showSerName val="0"/>
          <c:showPercent val="0"/>
          <c:showBubbleSize val="0"/>
        </c:dLbls>
        <c:gapWidth val="219"/>
        <c:overlap val="-27"/>
        <c:axId val="628580472"/>
        <c:axId val="628580832"/>
      </c:barChart>
      <c:catAx>
        <c:axId val="628580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28580832"/>
        <c:crosses val="autoZero"/>
        <c:auto val="1"/>
        <c:lblAlgn val="ctr"/>
        <c:lblOffset val="100"/>
        <c:noMultiLvlLbl val="0"/>
      </c:catAx>
      <c:valAx>
        <c:axId val="6285808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28580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ANALYSIS.xlsx]Top 10 Discounted Products!PivotTable11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Discounted Products'!$C$3</c:f>
              <c:strCache>
                <c:ptCount val="1"/>
                <c:pt idx="0">
                  <c:v>Total</c:v>
                </c:pt>
              </c:strCache>
            </c:strRef>
          </c:tx>
          <c:spPr>
            <a:solidFill>
              <a:srgbClr val="F68B1E"/>
            </a:solidFill>
            <a:ln>
              <a:noFill/>
            </a:ln>
            <a:effectLst/>
          </c:spPr>
          <c:invertIfNegative val="0"/>
          <c:cat>
            <c:strRef>
              <c:f>'Top 10 Discounted Products'!$B$4:$B$113</c:f>
              <c:strCache>
                <c:ptCount val="109"/>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Wall-mounted Sundries Organiser Fabric Closet Bag Storage Rack</c:v>
                </c:pt>
                <c:pt idx="13">
                  <c:v>2PCS Ice Silk Square Cushion Cover Pillowcases - 65x65cm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Pieces/set Of Stainless Steel Induction Cooker Pots</c:v>
                </c:pt>
                <c:pt idx="26">
                  <c:v>52 Pieces Cake Decorating Tool Set Gift Kit Baking Supplies</c:v>
                </c:pt>
                <c:pt idx="27">
                  <c:v>53 Pieces/Set Yarn Knitting Crochet Hooks With Bag - Pansies</c:v>
                </c:pt>
                <c:pt idx="28">
                  <c:v>53Pcs/Set Yarn Knitting Crochet Hooks With Bag - Fortune Cat</c:v>
                </c:pt>
                <c:pt idx="29">
                  <c:v>5m Waterproof Spherical LED String Lights Outdoor Ball Chain Lights Party Lighting Decoration Adjustable</c:v>
                </c:pt>
                <c:pt idx="30">
                  <c:v>5-PCS Stainless Steel Cooking Pot Set With Steamed Slices</c:v>
                </c:pt>
                <c:pt idx="31">
                  <c:v>6 In 1 Bottle Can Opener Multifunctional Easy Opener</c:v>
                </c:pt>
                <c:pt idx="32">
                  <c:v>6 Layers Steel Pipe Assembling Dustproof Storage Shoe Cabinet</c:v>
                </c:pt>
                <c:pt idx="33">
                  <c:v>60W Hot Melt Glue Sprayer - Efficient And Stable Glue Dispensing</c:v>
                </c:pt>
                <c:pt idx="34">
                  <c:v>7PCS Silicone Thumb Knife Finger Protector Vegetable Harvesting Knife</c:v>
                </c:pt>
                <c:pt idx="35">
                  <c:v>7-piece Set Of Storage Bags, Travel Storage Bags, Shoe Bags</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24-hour Heat Preservation,1.5L,800W, White</c:v>
                </c:pt>
                <c:pt idx="66">
                  <c:v>Large Lazy Inflatable Sofa Chairs PVC Lounger Seat Bag</c:v>
                </c:pt>
                <c:pt idx="67">
                  <c:v>LASA 3 Tier Bamboo Shoe Bench Storage Shelf</c:v>
                </c:pt>
                <c:pt idx="68">
                  <c:v>LASA Aluminum Folding Truck Hand Cart - 68kg Max</c:v>
                </c:pt>
                <c:pt idx="69">
                  <c:v>LASA Digital Thermometer And Hydrometer</c:v>
                </c:pt>
                <c:pt idx="70">
                  <c:v>LASA FOLDING TABLE SERVING STAND</c:v>
                </c:pt>
                <c:pt idx="71">
                  <c:v>LASA Stainless Steel Double Wall Mount Soap Dispenser - 500ml</c:v>
                </c:pt>
                <c:pt idx="72">
                  <c:v>LED Eye Protection  Desk Lamp , Study, Reading, USB Fan - Double Pen Holder</c:v>
                </c:pt>
                <c:pt idx="73">
                  <c:v>LED Romantic Spaceship Starry Sky Projector,Children's Bedroom Night Light-Blue</c:v>
                </c:pt>
                <c:pt idx="74">
                  <c:v>LED Solar Street Light-fake Camera</c:v>
                </c:pt>
                <c:pt idx="75">
                  <c:v>LED Wall Digital Alarm Clock Study Home 12 / 24H Clock Calendar</c:v>
                </c:pt>
                <c:pt idx="76">
                  <c:v>Memory Foam Neck Pillow Cover, With Pillow Core - 50*30cm</c:v>
                </c:pt>
                <c:pt idx="77">
                  <c:v>Metal Decorative Hooks Key Hangers Entryway Wall Hooks Towel Hooks - Home</c:v>
                </c:pt>
                <c:pt idx="78">
                  <c:v>Metal Wall Clock Silver Dial Crystal Jewelry Round Home Decoration Wall Clock</c:v>
                </c:pt>
                <c:pt idx="79">
                  <c:v>Modern Sofa Throw Pillow Cover-45x45cm-Blue&amp;Red</c:v>
                </c:pt>
                <c:pt idx="80">
                  <c:v>Multifunction Laser Level With Adjustment Tripod</c:v>
                </c:pt>
                <c:pt idx="81">
                  <c:v>Multifunctional Hanging Storage Box Storage Bag (4 Layers)</c:v>
                </c:pt>
                <c:pt idx="82">
                  <c:v>MultiFunctional Storage Rack Multi-layer Bookshelf</c:v>
                </c:pt>
                <c:pt idx="83">
                  <c:v>Multi-purpose Rice Drainage Basket And Fruit And Vegetable Drainage Sieve</c:v>
                </c:pt>
                <c:pt idx="84">
                  <c:v>Mythco 120COB Solar Wall Ligt With Motion Sensor And Remote Control 3 Modes</c:v>
                </c:pt>
                <c:pt idx="85">
                  <c:v>Office Chair Lumbar Back Support Spine Posture Correction Pillow Car Cushion</c:v>
                </c:pt>
                <c:pt idx="86">
                  <c:v>Outdoor Portable Water Bottle With Medicine Box - 600ML -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3-Speed Fan - Green</c:v>
                </c:pt>
                <c:pt idx="91">
                  <c:v>Portable Mini Cordless Car Vacuum Cleaner - Blue</c:v>
                </c:pt>
                <c:pt idx="92">
                  <c:v>Portable Soap Dispenser Kitchen Detergent Press Box Kitchen Tools</c:v>
                </c:pt>
                <c:pt idx="93">
                  <c:v>Portable Wardrobe Nonwoven With 3 Hanging Rods And 6 Storage Shelves</c:v>
                </c:pt>
                <c:pt idx="94">
                  <c:v>Portable Wine Table With Folding Round Table</c:v>
                </c:pt>
                <c:pt idx="95">
                  <c:v>Punch-free Great Load Bearing Bathroom Storage Rack Wall Shelf-White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Wall-mounted Sticker Punch-free Plug Fixer</c:v>
                </c:pt>
                <c:pt idx="105">
                  <c:v>Wall-Mounted Toothbrush Toothpaste Holder With Multiple Slots</c:v>
                </c:pt>
                <c:pt idx="106">
                  <c:v>Watercolour Gold Foil Textured Print Pillow Cover</c:v>
                </c:pt>
                <c:pt idx="107">
                  <c:v>Weighing Scale Digital Bathroom Body Fat Scale USB-Black</c:v>
                </c:pt>
                <c:pt idx="108">
                  <c:v>Wrought Iron Bathroom Shelf Wall Mounted Free Punch Toilet Rack</c:v>
                </c:pt>
              </c:strCache>
            </c:strRef>
          </c:cat>
          <c:val>
            <c:numRef>
              <c:f>'Top 10 Discounted Products'!$C$4:$C$113</c:f>
              <c:numCache>
                <c:formatCode>0%</c:formatCode>
                <c:ptCount val="109"/>
                <c:pt idx="0">
                  <c:v>0.38</c:v>
                </c:pt>
                <c:pt idx="1">
                  <c:v>0.34</c:v>
                </c:pt>
                <c:pt idx="2">
                  <c:v>0.38</c:v>
                </c:pt>
                <c:pt idx="3">
                  <c:v>0.32</c:v>
                </c:pt>
                <c:pt idx="4">
                  <c:v>0.34</c:v>
                </c:pt>
                <c:pt idx="5">
                  <c:v>0.49</c:v>
                </c:pt>
                <c:pt idx="6">
                  <c:v>0.27</c:v>
                </c:pt>
                <c:pt idx="7">
                  <c:v>0.45</c:v>
                </c:pt>
                <c:pt idx="8">
                  <c:v>0.24</c:v>
                </c:pt>
                <c:pt idx="9">
                  <c:v>0.24</c:v>
                </c:pt>
                <c:pt idx="10">
                  <c:v>0.02</c:v>
                </c:pt>
                <c:pt idx="11">
                  <c:v>0.09</c:v>
                </c:pt>
                <c:pt idx="12">
                  <c:v>0.01</c:v>
                </c:pt>
                <c:pt idx="13">
                  <c:v>0.5</c:v>
                </c:pt>
                <c:pt idx="14">
                  <c:v>0.38</c:v>
                </c:pt>
                <c:pt idx="15">
                  <c:v>0.47</c:v>
                </c:pt>
                <c:pt idx="16">
                  <c:v>0.39</c:v>
                </c:pt>
                <c:pt idx="17">
                  <c:v>0.5</c:v>
                </c:pt>
                <c:pt idx="18">
                  <c:v>0.49</c:v>
                </c:pt>
                <c:pt idx="19">
                  <c:v>0.43</c:v>
                </c:pt>
                <c:pt idx="20">
                  <c:v>0.53</c:v>
                </c:pt>
                <c:pt idx="21">
                  <c:v>0.49</c:v>
                </c:pt>
                <c:pt idx="22">
                  <c:v>0.47</c:v>
                </c:pt>
                <c:pt idx="23">
                  <c:v>0.49</c:v>
                </c:pt>
                <c:pt idx="24">
                  <c:v>0.42</c:v>
                </c:pt>
                <c:pt idx="25">
                  <c:v>0.13</c:v>
                </c:pt>
                <c:pt idx="26">
                  <c:v>0.3</c:v>
                </c:pt>
                <c:pt idx="27">
                  <c:v>0.27</c:v>
                </c:pt>
                <c:pt idx="28">
                  <c:v>0.27</c:v>
                </c:pt>
                <c:pt idx="29">
                  <c:v>0.36</c:v>
                </c:pt>
                <c:pt idx="30">
                  <c:v>0.55000000000000004</c:v>
                </c:pt>
                <c:pt idx="31">
                  <c:v>0.64</c:v>
                </c:pt>
                <c:pt idx="32">
                  <c:v>0.47</c:v>
                </c:pt>
                <c:pt idx="33">
                  <c:v>0.33</c:v>
                </c:pt>
                <c:pt idx="34">
                  <c:v>0.49</c:v>
                </c:pt>
                <c:pt idx="35">
                  <c:v>0.47</c:v>
                </c:pt>
                <c:pt idx="36">
                  <c:v>0.42</c:v>
                </c:pt>
                <c:pt idx="37">
                  <c:v>0.41</c:v>
                </c:pt>
                <c:pt idx="38">
                  <c:v>0.45</c:v>
                </c:pt>
                <c:pt idx="39">
                  <c:v>0.49</c:v>
                </c:pt>
                <c:pt idx="40">
                  <c:v>0.51</c:v>
                </c:pt>
                <c:pt idx="41">
                  <c:v>0.45</c:v>
                </c:pt>
                <c:pt idx="42">
                  <c:v>0.49</c:v>
                </c:pt>
                <c:pt idx="43">
                  <c:v>0.42</c:v>
                </c:pt>
                <c:pt idx="44">
                  <c:v>0.49</c:v>
                </c:pt>
                <c:pt idx="45">
                  <c:v>0.47</c:v>
                </c:pt>
                <c:pt idx="46">
                  <c:v>0.5</c:v>
                </c:pt>
                <c:pt idx="47">
                  <c:v>0.49</c:v>
                </c:pt>
                <c:pt idx="48">
                  <c:v>0.49</c:v>
                </c:pt>
                <c:pt idx="49">
                  <c:v>0.34</c:v>
                </c:pt>
                <c:pt idx="50">
                  <c:v>0.5</c:v>
                </c:pt>
                <c:pt idx="51">
                  <c:v>0.48</c:v>
                </c:pt>
                <c:pt idx="52">
                  <c:v>0.53</c:v>
                </c:pt>
                <c:pt idx="53">
                  <c:v>0.55000000000000004</c:v>
                </c:pt>
                <c:pt idx="54">
                  <c:v>0.04</c:v>
                </c:pt>
                <c:pt idx="55">
                  <c:v>0.41</c:v>
                </c:pt>
                <c:pt idx="56">
                  <c:v>0.37</c:v>
                </c:pt>
                <c:pt idx="57">
                  <c:v>0.4</c:v>
                </c:pt>
                <c:pt idx="58">
                  <c:v>0.47</c:v>
                </c:pt>
                <c:pt idx="59">
                  <c:v>0.35</c:v>
                </c:pt>
                <c:pt idx="60">
                  <c:v>0.52</c:v>
                </c:pt>
                <c:pt idx="61">
                  <c:v>0.23</c:v>
                </c:pt>
                <c:pt idx="62">
                  <c:v>0.2</c:v>
                </c:pt>
                <c:pt idx="63">
                  <c:v>0.49</c:v>
                </c:pt>
                <c:pt idx="64">
                  <c:v>0.52</c:v>
                </c:pt>
                <c:pt idx="65">
                  <c:v>0.21</c:v>
                </c:pt>
                <c:pt idx="66">
                  <c:v>0.28999999999999998</c:v>
                </c:pt>
                <c:pt idx="67">
                  <c:v>0.54</c:v>
                </c:pt>
                <c:pt idx="68">
                  <c:v>0.49</c:v>
                </c:pt>
                <c:pt idx="69">
                  <c:v>0.42</c:v>
                </c:pt>
                <c:pt idx="70">
                  <c:v>0.55000000000000004</c:v>
                </c:pt>
                <c:pt idx="71">
                  <c:v>0.38</c:v>
                </c:pt>
                <c:pt idx="72">
                  <c:v>0.48</c:v>
                </c:pt>
                <c:pt idx="73">
                  <c:v>0.35</c:v>
                </c:pt>
                <c:pt idx="74">
                  <c:v>0.34</c:v>
                </c:pt>
                <c:pt idx="75">
                  <c:v>0.19</c:v>
                </c:pt>
                <c:pt idx="76">
                  <c:v>0.46</c:v>
                </c:pt>
                <c:pt idx="77">
                  <c:v>0.47</c:v>
                </c:pt>
                <c:pt idx="78">
                  <c:v>0.04</c:v>
                </c:pt>
                <c:pt idx="79">
                  <c:v>0.5</c:v>
                </c:pt>
                <c:pt idx="80">
                  <c:v>0.33</c:v>
                </c:pt>
                <c:pt idx="81">
                  <c:v>0.43</c:v>
                </c:pt>
                <c:pt idx="82">
                  <c:v>0.46</c:v>
                </c:pt>
                <c:pt idx="83">
                  <c:v>0.03</c:v>
                </c:pt>
                <c:pt idx="84">
                  <c:v>0.54</c:v>
                </c:pt>
                <c:pt idx="85">
                  <c:v>0.14000000000000001</c:v>
                </c:pt>
                <c:pt idx="86">
                  <c:v>0.11</c:v>
                </c:pt>
                <c:pt idx="87">
                  <c:v>0.46</c:v>
                </c:pt>
                <c:pt idx="88">
                  <c:v>0.02</c:v>
                </c:pt>
                <c:pt idx="89">
                  <c:v>0.22</c:v>
                </c:pt>
                <c:pt idx="90">
                  <c:v>0.26</c:v>
                </c:pt>
                <c:pt idx="91">
                  <c:v>0.25</c:v>
                </c:pt>
                <c:pt idx="92">
                  <c:v>0.02</c:v>
                </c:pt>
                <c:pt idx="93">
                  <c:v>0.18</c:v>
                </c:pt>
                <c:pt idx="94">
                  <c:v>0.48</c:v>
                </c:pt>
                <c:pt idx="95">
                  <c:v>0.41</c:v>
                </c:pt>
                <c:pt idx="96">
                  <c:v>0.48</c:v>
                </c:pt>
                <c:pt idx="97">
                  <c:v>0.02</c:v>
                </c:pt>
                <c:pt idx="98">
                  <c:v>0.02</c:v>
                </c:pt>
                <c:pt idx="99">
                  <c:v>0.5</c:v>
                </c:pt>
                <c:pt idx="100">
                  <c:v>0.02</c:v>
                </c:pt>
                <c:pt idx="101">
                  <c:v>0.22</c:v>
                </c:pt>
                <c:pt idx="102">
                  <c:v>0.5</c:v>
                </c:pt>
                <c:pt idx="103">
                  <c:v>0.08</c:v>
                </c:pt>
                <c:pt idx="104">
                  <c:v>0.5</c:v>
                </c:pt>
                <c:pt idx="105">
                  <c:v>0.14000000000000001</c:v>
                </c:pt>
                <c:pt idx="106">
                  <c:v>0.43</c:v>
                </c:pt>
                <c:pt idx="107">
                  <c:v>0.37</c:v>
                </c:pt>
                <c:pt idx="108">
                  <c:v>0.43</c:v>
                </c:pt>
              </c:numCache>
            </c:numRef>
          </c:val>
          <c:extLst>
            <c:ext xmlns:c16="http://schemas.microsoft.com/office/drawing/2014/chart" uri="{C3380CC4-5D6E-409C-BE32-E72D297353CC}">
              <c16:uniqueId val="{00000000-BCD2-44D6-AAA7-D3BA5DAD9D4C}"/>
            </c:ext>
          </c:extLst>
        </c:ser>
        <c:dLbls>
          <c:showLegendKey val="0"/>
          <c:showVal val="0"/>
          <c:showCatName val="0"/>
          <c:showSerName val="0"/>
          <c:showPercent val="0"/>
          <c:showBubbleSize val="0"/>
        </c:dLbls>
        <c:gapWidth val="219"/>
        <c:overlap val="-27"/>
        <c:axId val="634268616"/>
        <c:axId val="634269696"/>
      </c:barChart>
      <c:catAx>
        <c:axId val="634268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34269696"/>
        <c:crosses val="autoZero"/>
        <c:auto val="1"/>
        <c:lblAlgn val="ctr"/>
        <c:lblOffset val="100"/>
        <c:noMultiLvlLbl val="0"/>
      </c:catAx>
      <c:valAx>
        <c:axId val="634269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34268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ANALYSIS.xlsx]Top 10 Reviewed Products!PivotTable11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Reviewed Products'!$C$3</c:f>
              <c:strCache>
                <c:ptCount val="1"/>
                <c:pt idx="0">
                  <c:v>Total</c:v>
                </c:pt>
              </c:strCache>
            </c:strRef>
          </c:tx>
          <c:spPr>
            <a:solidFill>
              <a:srgbClr val="F68B1E"/>
            </a:solidFill>
            <a:ln>
              <a:noFill/>
            </a:ln>
            <a:effectLst/>
          </c:spPr>
          <c:invertIfNegative val="0"/>
          <c:cat>
            <c:strRef>
              <c:f>'Top 10 Reviewed Products'!$B$4:$B$113</c:f>
              <c:strCache>
                <c:ptCount val="109"/>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Wall-mounted Sundries Organiser Fabric Closet Bag Storage Rack</c:v>
                </c:pt>
                <c:pt idx="13">
                  <c:v>2PCS Ice Silk Square Cushion Cover Pillowcases - 65x65cm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Pieces/set Of Stainless Steel Induction Cooker Pots</c:v>
                </c:pt>
                <c:pt idx="26">
                  <c:v>52 Pieces Cake Decorating Tool Set Gift Kit Baking Supplies</c:v>
                </c:pt>
                <c:pt idx="27">
                  <c:v>53 Pieces/Set Yarn Knitting Crochet Hooks With Bag - Pansies</c:v>
                </c:pt>
                <c:pt idx="28">
                  <c:v>53Pcs/Set Yarn Knitting Crochet Hooks With Bag - Fortune Cat</c:v>
                </c:pt>
                <c:pt idx="29">
                  <c:v>5m Waterproof Spherical LED String Lights Outdoor Ball Chain Lights Party Lighting Decoration Adjustable</c:v>
                </c:pt>
                <c:pt idx="30">
                  <c:v>5-PCS Stainless Steel Cooking Pot Set With Steamed Slices</c:v>
                </c:pt>
                <c:pt idx="31">
                  <c:v>6 In 1 Bottle Can Opener Multifunctional Easy Opener</c:v>
                </c:pt>
                <c:pt idx="32">
                  <c:v>6 Layers Steel Pipe Assembling Dustproof Storage Shoe Cabinet</c:v>
                </c:pt>
                <c:pt idx="33">
                  <c:v>60W Hot Melt Glue Sprayer - Efficient And Stable Glue Dispensing</c:v>
                </c:pt>
                <c:pt idx="34">
                  <c:v>7PCS Silicone Thumb Knife Finger Protector Vegetable Harvesting Knife</c:v>
                </c:pt>
                <c:pt idx="35">
                  <c:v>7-piece Set Of Storage Bags, Travel Storage Bags, Shoe Bags</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24-hour Heat Preservation,1.5L,800W, White</c:v>
                </c:pt>
                <c:pt idx="66">
                  <c:v>Large Lazy Inflatable Sofa Chairs PVC Lounger Seat Bag</c:v>
                </c:pt>
                <c:pt idx="67">
                  <c:v>LASA 3 Tier Bamboo Shoe Bench Storage Shelf</c:v>
                </c:pt>
                <c:pt idx="68">
                  <c:v>LASA Aluminum Folding Truck Hand Cart - 68kg Max</c:v>
                </c:pt>
                <c:pt idx="69">
                  <c:v>LASA Digital Thermometer And Hydrometer</c:v>
                </c:pt>
                <c:pt idx="70">
                  <c:v>LASA FOLDING TABLE SERVING STAND</c:v>
                </c:pt>
                <c:pt idx="71">
                  <c:v>LASA Stainless Steel Double Wall Mount Soap Dispenser - 500ml</c:v>
                </c:pt>
                <c:pt idx="72">
                  <c:v>LED Eye Protection  Desk Lamp , Study, Reading, USB Fan - Double Pen Holder</c:v>
                </c:pt>
                <c:pt idx="73">
                  <c:v>LED Romantic Spaceship Starry Sky Projector,Children's Bedroom Night Light-Blue</c:v>
                </c:pt>
                <c:pt idx="74">
                  <c:v>LED Solar Street Light-fake Camera</c:v>
                </c:pt>
                <c:pt idx="75">
                  <c:v>LED Wall Digital Alarm Clock Study Home 12 / 24H Clock Calendar</c:v>
                </c:pt>
                <c:pt idx="76">
                  <c:v>Memory Foam Neck Pillow Cover, With Pillow Core - 50*30cm</c:v>
                </c:pt>
                <c:pt idx="77">
                  <c:v>Metal Decorative Hooks Key Hangers Entryway Wall Hooks Towel Hooks - Home</c:v>
                </c:pt>
                <c:pt idx="78">
                  <c:v>Metal Wall Clock Silver Dial Crystal Jewelry Round Home Decoration Wall Clock</c:v>
                </c:pt>
                <c:pt idx="79">
                  <c:v>Modern Sofa Throw Pillow Cover-45x45cm-Blue&amp;Red</c:v>
                </c:pt>
                <c:pt idx="80">
                  <c:v>Multifunction Laser Level With Adjustment Tripod</c:v>
                </c:pt>
                <c:pt idx="81">
                  <c:v>Multifunctional Hanging Storage Box Storage Bag (4 Layers)</c:v>
                </c:pt>
                <c:pt idx="82">
                  <c:v>MultiFunctional Storage Rack Multi-layer Bookshelf</c:v>
                </c:pt>
                <c:pt idx="83">
                  <c:v>Multi-purpose Rice Drainage Basket And Fruit And Vegetable Drainage Sieve</c:v>
                </c:pt>
                <c:pt idx="84">
                  <c:v>Mythco 120COB Solar Wall Ligt With Motion Sensor And Remote Control 3 Modes</c:v>
                </c:pt>
                <c:pt idx="85">
                  <c:v>Office Chair Lumbar Back Support Spine Posture Correction Pillow Car Cushion</c:v>
                </c:pt>
                <c:pt idx="86">
                  <c:v>Outdoor Portable Water Bottle With Medicine Box - 600ML -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3-Speed Fan - Green</c:v>
                </c:pt>
                <c:pt idx="91">
                  <c:v>Portable Mini Cordless Car Vacuum Cleaner - Blue</c:v>
                </c:pt>
                <c:pt idx="92">
                  <c:v>Portable Soap Dispenser Kitchen Detergent Press Box Kitchen Tools</c:v>
                </c:pt>
                <c:pt idx="93">
                  <c:v>Portable Wardrobe Nonwoven With 3 Hanging Rods And 6 Storage Shelves</c:v>
                </c:pt>
                <c:pt idx="94">
                  <c:v>Portable Wine Table With Folding Round Table</c:v>
                </c:pt>
                <c:pt idx="95">
                  <c:v>Punch-free Great Load Bearing Bathroom Storage Rack Wall Shelf-White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Wall-mounted Sticker Punch-free Plug Fixer</c:v>
                </c:pt>
                <c:pt idx="105">
                  <c:v>Wall-Mounted Toothbrush Toothpaste Holder With Multiple Slots</c:v>
                </c:pt>
                <c:pt idx="106">
                  <c:v>Watercolour Gold Foil Textured Print Pillow Cover</c:v>
                </c:pt>
                <c:pt idx="107">
                  <c:v>Weighing Scale Digital Bathroom Body Fat Scale USB-Black</c:v>
                </c:pt>
                <c:pt idx="108">
                  <c:v>Wrought Iron Bathroom Shelf Wall Mounted Free Punch Toilet Rack</c:v>
                </c:pt>
              </c:strCache>
            </c:strRef>
          </c:cat>
          <c:val>
            <c:numRef>
              <c:f>'Top 10 Reviewed Products'!$C$4:$C$113</c:f>
              <c:numCache>
                <c:formatCode>General</c:formatCode>
                <c:ptCount val="109"/>
                <c:pt idx="0">
                  <c:v>2</c:v>
                </c:pt>
                <c:pt idx="1">
                  <c:v>39</c:v>
                </c:pt>
                <c:pt idx="2">
                  <c:v>2</c:v>
                </c:pt>
                <c:pt idx="3">
                  <c:v>13</c:v>
                </c:pt>
                <c:pt idx="4">
                  <c:v>12</c:v>
                </c:pt>
                <c:pt idx="5">
                  <c:v>69</c:v>
                </c:pt>
                <c:pt idx="6">
                  <c:v>0</c:v>
                </c:pt>
                <c:pt idx="7">
                  <c:v>5</c:v>
                </c:pt>
                <c:pt idx="8">
                  <c:v>55</c:v>
                </c:pt>
                <c:pt idx="9">
                  <c:v>0</c:v>
                </c:pt>
                <c:pt idx="10">
                  <c:v>0</c:v>
                </c:pt>
                <c:pt idx="11">
                  <c:v>15</c:v>
                </c:pt>
                <c:pt idx="12">
                  <c:v>0</c:v>
                </c:pt>
                <c:pt idx="13">
                  <c:v>0</c:v>
                </c:pt>
                <c:pt idx="14">
                  <c:v>0</c:v>
                </c:pt>
                <c:pt idx="15">
                  <c:v>0</c:v>
                </c:pt>
                <c:pt idx="16">
                  <c:v>5</c:v>
                </c:pt>
                <c:pt idx="17">
                  <c:v>7</c:v>
                </c:pt>
                <c:pt idx="18">
                  <c:v>44</c:v>
                </c:pt>
                <c:pt idx="19">
                  <c:v>0</c:v>
                </c:pt>
                <c:pt idx="20">
                  <c:v>13</c:v>
                </c:pt>
                <c:pt idx="21">
                  <c:v>0</c:v>
                </c:pt>
                <c:pt idx="22">
                  <c:v>12</c:v>
                </c:pt>
                <c:pt idx="23">
                  <c:v>0</c:v>
                </c:pt>
                <c:pt idx="24">
                  <c:v>0</c:v>
                </c:pt>
                <c:pt idx="25">
                  <c:v>6</c:v>
                </c:pt>
                <c:pt idx="26">
                  <c:v>20</c:v>
                </c:pt>
                <c:pt idx="27">
                  <c:v>32</c:v>
                </c:pt>
                <c:pt idx="28">
                  <c:v>20</c:v>
                </c:pt>
                <c:pt idx="29">
                  <c:v>0</c:v>
                </c:pt>
                <c:pt idx="30">
                  <c:v>13</c:v>
                </c:pt>
                <c:pt idx="31">
                  <c:v>0</c:v>
                </c:pt>
                <c:pt idx="32">
                  <c:v>0</c:v>
                </c:pt>
                <c:pt idx="33">
                  <c:v>0</c:v>
                </c:pt>
                <c:pt idx="34">
                  <c:v>0</c:v>
                </c:pt>
                <c:pt idx="35">
                  <c:v>6</c:v>
                </c:pt>
                <c:pt idx="36">
                  <c:v>0</c:v>
                </c:pt>
                <c:pt idx="37">
                  <c:v>0</c:v>
                </c:pt>
                <c:pt idx="38">
                  <c:v>17</c:v>
                </c:pt>
                <c:pt idx="39">
                  <c:v>0</c:v>
                </c:pt>
                <c:pt idx="40">
                  <c:v>2</c:v>
                </c:pt>
                <c:pt idx="41">
                  <c:v>6</c:v>
                </c:pt>
                <c:pt idx="42">
                  <c:v>0</c:v>
                </c:pt>
                <c:pt idx="43">
                  <c:v>0</c:v>
                </c:pt>
                <c:pt idx="44">
                  <c:v>1</c:v>
                </c:pt>
                <c:pt idx="45">
                  <c:v>0</c:v>
                </c:pt>
                <c:pt idx="46">
                  <c:v>0</c:v>
                </c:pt>
                <c:pt idx="47">
                  <c:v>0</c:v>
                </c:pt>
                <c:pt idx="48">
                  <c:v>0</c:v>
                </c:pt>
                <c:pt idx="49">
                  <c:v>0</c:v>
                </c:pt>
                <c:pt idx="50">
                  <c:v>0</c:v>
                </c:pt>
                <c:pt idx="51">
                  <c:v>0</c:v>
                </c:pt>
                <c:pt idx="52">
                  <c:v>2</c:v>
                </c:pt>
                <c:pt idx="53">
                  <c:v>0</c:v>
                </c:pt>
                <c:pt idx="54">
                  <c:v>0</c:v>
                </c:pt>
                <c:pt idx="55">
                  <c:v>0</c:v>
                </c:pt>
                <c:pt idx="56">
                  <c:v>2</c:v>
                </c:pt>
                <c:pt idx="57">
                  <c:v>1</c:v>
                </c:pt>
                <c:pt idx="58">
                  <c:v>7</c:v>
                </c:pt>
                <c:pt idx="59">
                  <c:v>49</c:v>
                </c:pt>
                <c:pt idx="60">
                  <c:v>9</c:v>
                </c:pt>
                <c:pt idx="61">
                  <c:v>14</c:v>
                </c:pt>
                <c:pt idx="62">
                  <c:v>12</c:v>
                </c:pt>
                <c:pt idx="63">
                  <c:v>1</c:v>
                </c:pt>
                <c:pt idx="64">
                  <c:v>15</c:v>
                </c:pt>
                <c:pt idx="65">
                  <c:v>1</c:v>
                </c:pt>
                <c:pt idx="66">
                  <c:v>5</c:v>
                </c:pt>
                <c:pt idx="67">
                  <c:v>7</c:v>
                </c:pt>
                <c:pt idx="68">
                  <c:v>3</c:v>
                </c:pt>
                <c:pt idx="69">
                  <c:v>6</c:v>
                </c:pt>
                <c:pt idx="70">
                  <c:v>5</c:v>
                </c:pt>
                <c:pt idx="71">
                  <c:v>0</c:v>
                </c:pt>
                <c:pt idx="72">
                  <c:v>9</c:v>
                </c:pt>
                <c:pt idx="73">
                  <c:v>6</c:v>
                </c:pt>
                <c:pt idx="74">
                  <c:v>0</c:v>
                </c:pt>
                <c:pt idx="75">
                  <c:v>5</c:v>
                </c:pt>
                <c:pt idx="76">
                  <c:v>1</c:v>
                </c:pt>
                <c:pt idx="77">
                  <c:v>14</c:v>
                </c:pt>
                <c:pt idx="78">
                  <c:v>0</c:v>
                </c:pt>
                <c:pt idx="79">
                  <c:v>0</c:v>
                </c:pt>
                <c:pt idx="80">
                  <c:v>9</c:v>
                </c:pt>
                <c:pt idx="81">
                  <c:v>0</c:v>
                </c:pt>
                <c:pt idx="82">
                  <c:v>0</c:v>
                </c:pt>
                <c:pt idx="83">
                  <c:v>0</c:v>
                </c:pt>
                <c:pt idx="84">
                  <c:v>10</c:v>
                </c:pt>
                <c:pt idx="85">
                  <c:v>0</c:v>
                </c:pt>
                <c:pt idx="86">
                  <c:v>0</c:v>
                </c:pt>
                <c:pt idx="87">
                  <c:v>2</c:v>
                </c:pt>
                <c:pt idx="88">
                  <c:v>0</c:v>
                </c:pt>
                <c:pt idx="89">
                  <c:v>0</c:v>
                </c:pt>
                <c:pt idx="90">
                  <c:v>5</c:v>
                </c:pt>
                <c:pt idx="91">
                  <c:v>24</c:v>
                </c:pt>
                <c:pt idx="92">
                  <c:v>0</c:v>
                </c:pt>
                <c:pt idx="93">
                  <c:v>12</c:v>
                </c:pt>
                <c:pt idx="94">
                  <c:v>0</c:v>
                </c:pt>
                <c:pt idx="95">
                  <c:v>36</c:v>
                </c:pt>
                <c:pt idx="96">
                  <c:v>0</c:v>
                </c:pt>
                <c:pt idx="97">
                  <c:v>0</c:v>
                </c:pt>
                <c:pt idx="98">
                  <c:v>0</c:v>
                </c:pt>
                <c:pt idx="99">
                  <c:v>0</c:v>
                </c:pt>
                <c:pt idx="100">
                  <c:v>0</c:v>
                </c:pt>
                <c:pt idx="101">
                  <c:v>16</c:v>
                </c:pt>
                <c:pt idx="102">
                  <c:v>0</c:v>
                </c:pt>
                <c:pt idx="103">
                  <c:v>0</c:v>
                </c:pt>
                <c:pt idx="104">
                  <c:v>1</c:v>
                </c:pt>
                <c:pt idx="105">
                  <c:v>0</c:v>
                </c:pt>
                <c:pt idx="106">
                  <c:v>6</c:v>
                </c:pt>
                <c:pt idx="107">
                  <c:v>7</c:v>
                </c:pt>
                <c:pt idx="108">
                  <c:v>5</c:v>
                </c:pt>
              </c:numCache>
            </c:numRef>
          </c:val>
          <c:extLst>
            <c:ext xmlns:c16="http://schemas.microsoft.com/office/drawing/2014/chart" uri="{C3380CC4-5D6E-409C-BE32-E72D297353CC}">
              <c16:uniqueId val="{00000000-1A5D-4A93-8602-E525C7BC8FE1}"/>
            </c:ext>
          </c:extLst>
        </c:ser>
        <c:dLbls>
          <c:showLegendKey val="0"/>
          <c:showVal val="0"/>
          <c:showCatName val="0"/>
          <c:showSerName val="0"/>
          <c:showPercent val="0"/>
          <c:showBubbleSize val="0"/>
        </c:dLbls>
        <c:gapWidth val="219"/>
        <c:overlap val="-27"/>
        <c:axId val="634268616"/>
        <c:axId val="634269696"/>
      </c:barChart>
      <c:catAx>
        <c:axId val="634268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34269696"/>
        <c:crosses val="autoZero"/>
        <c:auto val="1"/>
        <c:lblAlgn val="ctr"/>
        <c:lblOffset val="100"/>
        <c:noMultiLvlLbl val="0"/>
      </c:catAx>
      <c:valAx>
        <c:axId val="63426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34268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ANALYSIS.xlsx]High vs low disc.-Rate &amp; Review!PivotTable15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 vs low disc.-Rate &amp; Review'!$B$115</c:f>
              <c:strCache>
                <c:ptCount val="1"/>
                <c:pt idx="0">
                  <c:v>Total</c:v>
                </c:pt>
              </c:strCache>
            </c:strRef>
          </c:tx>
          <c:spPr>
            <a:solidFill>
              <a:srgbClr val="F68B1E"/>
            </a:solidFill>
            <a:ln>
              <a:noFill/>
            </a:ln>
            <a:effectLst/>
          </c:spPr>
          <c:invertIfNegative val="0"/>
          <c:cat>
            <c:strRef>
              <c:f>'High vs low disc.-Rate &amp; Review'!$A$116:$A$118</c:f>
              <c:strCache>
                <c:ptCount val="2"/>
                <c:pt idx="0">
                  <c:v>High discount</c:v>
                </c:pt>
                <c:pt idx="1">
                  <c:v>Low discount</c:v>
                </c:pt>
              </c:strCache>
            </c:strRef>
          </c:cat>
          <c:val>
            <c:numRef>
              <c:f>'High vs low disc.-Rate &amp; Review'!$B$116:$B$118</c:f>
              <c:numCache>
                <c:formatCode>General</c:formatCode>
                <c:ptCount val="2"/>
                <c:pt idx="0">
                  <c:v>3.6580645161290311</c:v>
                </c:pt>
                <c:pt idx="1">
                  <c:v>3.7249999999999996</c:v>
                </c:pt>
              </c:numCache>
            </c:numRef>
          </c:val>
          <c:extLst>
            <c:ext xmlns:c16="http://schemas.microsoft.com/office/drawing/2014/chart" uri="{C3380CC4-5D6E-409C-BE32-E72D297353CC}">
              <c16:uniqueId val="{00000000-250B-4F02-BEDA-3DBA6B154F8D}"/>
            </c:ext>
          </c:extLst>
        </c:ser>
        <c:dLbls>
          <c:showLegendKey val="0"/>
          <c:showVal val="0"/>
          <c:showCatName val="0"/>
          <c:showSerName val="0"/>
          <c:showPercent val="0"/>
          <c:showBubbleSize val="0"/>
        </c:dLbls>
        <c:gapWidth val="219"/>
        <c:axId val="630657848"/>
        <c:axId val="630654968"/>
      </c:barChart>
      <c:catAx>
        <c:axId val="630657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30654968"/>
        <c:crosses val="autoZero"/>
        <c:auto val="1"/>
        <c:lblAlgn val="ctr"/>
        <c:lblOffset val="100"/>
        <c:noMultiLvlLbl val="0"/>
      </c:catAx>
      <c:valAx>
        <c:axId val="630654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30657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ANALYSIS.xlsx]High vs low disc.-Rate &amp; Review!PivotTable16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 vs low disc.-Rate &amp; Review'!$B$130</c:f>
              <c:strCache>
                <c:ptCount val="1"/>
                <c:pt idx="0">
                  <c:v>Total</c:v>
                </c:pt>
              </c:strCache>
            </c:strRef>
          </c:tx>
          <c:spPr>
            <a:solidFill>
              <a:srgbClr val="F68B1E"/>
            </a:solidFill>
            <a:ln>
              <a:noFill/>
            </a:ln>
            <a:effectLst/>
          </c:spPr>
          <c:invertIfNegative val="0"/>
          <c:cat>
            <c:strRef>
              <c:f>'High vs low disc.-Rate &amp; Review'!$A$131:$A$133</c:f>
              <c:strCache>
                <c:ptCount val="2"/>
                <c:pt idx="0">
                  <c:v>High discount</c:v>
                </c:pt>
                <c:pt idx="1">
                  <c:v>Low discount</c:v>
                </c:pt>
              </c:strCache>
            </c:strRef>
          </c:cat>
          <c:val>
            <c:numRef>
              <c:f>'High vs low disc.-Rate &amp; Review'!$B$131:$B$133</c:f>
              <c:numCache>
                <c:formatCode>General</c:formatCode>
                <c:ptCount val="2"/>
                <c:pt idx="0">
                  <c:v>335</c:v>
                </c:pt>
                <c:pt idx="1">
                  <c:v>38</c:v>
                </c:pt>
              </c:numCache>
            </c:numRef>
          </c:val>
          <c:extLst>
            <c:ext xmlns:c16="http://schemas.microsoft.com/office/drawing/2014/chart" uri="{C3380CC4-5D6E-409C-BE32-E72D297353CC}">
              <c16:uniqueId val="{00000000-3DC1-49B2-A18D-7C56BAD08306}"/>
            </c:ext>
          </c:extLst>
        </c:ser>
        <c:dLbls>
          <c:showLegendKey val="0"/>
          <c:showVal val="0"/>
          <c:showCatName val="0"/>
          <c:showSerName val="0"/>
          <c:showPercent val="0"/>
          <c:showBubbleSize val="0"/>
        </c:dLbls>
        <c:gapWidth val="219"/>
        <c:axId val="514727280"/>
        <c:axId val="514725120"/>
      </c:barChart>
      <c:catAx>
        <c:axId val="514727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4725120"/>
        <c:crosses val="autoZero"/>
        <c:auto val="1"/>
        <c:lblAlgn val="ctr"/>
        <c:lblOffset val="100"/>
        <c:noMultiLvlLbl val="0"/>
      </c:catAx>
      <c:valAx>
        <c:axId val="514725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472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ANALYSIS.xlsx]Slicers!PivotTable1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Slicers!$B$1</c:f>
              <c:strCache>
                <c:ptCount val="1"/>
                <c:pt idx="0">
                  <c:v>Sum of Discount</c:v>
                </c:pt>
              </c:strCache>
            </c:strRef>
          </c:tx>
          <c:spPr>
            <a:solidFill>
              <a:schemeClr val="accent1"/>
            </a:solidFill>
            <a:ln>
              <a:noFill/>
            </a:ln>
            <a:effectLst/>
          </c:spPr>
          <c:invertIfNegative val="0"/>
          <c:cat>
            <c:multiLvlStrRef>
              <c:f>Slicers!$A$2:$A$17</c:f>
              <c:multiLvlStrCache>
                <c:ptCount val="12"/>
                <c:lvl>
                  <c:pt idx="0">
                    <c:v>Average</c:v>
                  </c:pt>
                  <c:pt idx="1">
                    <c:v>Excellent</c:v>
                  </c:pt>
                  <c:pt idx="2">
                    <c:v>Poor</c:v>
                  </c:pt>
                  <c:pt idx="3">
                    <c:v>Unrated</c:v>
                  </c:pt>
                  <c:pt idx="4">
                    <c:v>Average</c:v>
                  </c:pt>
                  <c:pt idx="5">
                    <c:v>Excellent</c:v>
                  </c:pt>
                  <c:pt idx="6">
                    <c:v>Poor</c:v>
                  </c:pt>
                  <c:pt idx="7">
                    <c:v>Unrated</c:v>
                  </c:pt>
                  <c:pt idx="8">
                    <c:v>Average</c:v>
                  </c:pt>
                  <c:pt idx="9">
                    <c:v>Excellent</c:v>
                  </c:pt>
                  <c:pt idx="10">
                    <c:v>Poor</c:v>
                  </c:pt>
                  <c:pt idx="11">
                    <c:v>Unrated</c:v>
                  </c:pt>
                </c:lvl>
                <c:lvl>
                  <c:pt idx="0">
                    <c:v>High discount</c:v>
                  </c:pt>
                  <c:pt idx="4">
                    <c:v>Low discount</c:v>
                  </c:pt>
                  <c:pt idx="8">
                    <c:v>Medium discount</c:v>
                  </c:pt>
                </c:lvl>
              </c:multiLvlStrCache>
            </c:multiLvlStrRef>
          </c:cat>
          <c:val>
            <c:numRef>
              <c:f>Slicers!$B$2:$B$17</c:f>
              <c:numCache>
                <c:formatCode>0%</c:formatCode>
                <c:ptCount val="12"/>
                <c:pt idx="0">
                  <c:v>5.32</c:v>
                </c:pt>
                <c:pt idx="1">
                  <c:v>4.8100000000000005</c:v>
                </c:pt>
                <c:pt idx="2">
                  <c:v>4.83</c:v>
                </c:pt>
                <c:pt idx="3">
                  <c:v>15.410000000000004</c:v>
                </c:pt>
                <c:pt idx="4">
                  <c:v>0.27</c:v>
                </c:pt>
                <c:pt idx="5">
                  <c:v>0.19</c:v>
                </c:pt>
                <c:pt idx="6">
                  <c:v>0.13</c:v>
                </c:pt>
                <c:pt idx="7">
                  <c:v>0.71000000000000008</c:v>
                </c:pt>
                <c:pt idx="8">
                  <c:v>2.7800000000000002</c:v>
                </c:pt>
                <c:pt idx="9">
                  <c:v>3.6599999999999997</c:v>
                </c:pt>
                <c:pt idx="10">
                  <c:v>0.22</c:v>
                </c:pt>
                <c:pt idx="11">
                  <c:v>2.8599999999999994</c:v>
                </c:pt>
              </c:numCache>
            </c:numRef>
          </c:val>
          <c:extLst>
            <c:ext xmlns:c16="http://schemas.microsoft.com/office/drawing/2014/chart" uri="{C3380CC4-5D6E-409C-BE32-E72D297353CC}">
              <c16:uniqueId val="{00000000-5BA4-4D05-ACAA-AFA1BBE388DD}"/>
            </c:ext>
          </c:extLst>
        </c:ser>
        <c:ser>
          <c:idx val="1"/>
          <c:order val="1"/>
          <c:tx>
            <c:strRef>
              <c:f>Slicers!$C$1</c:f>
              <c:strCache>
                <c:ptCount val="1"/>
                <c:pt idx="0">
                  <c:v>Count of Rating (Out of 5)</c:v>
                </c:pt>
              </c:strCache>
            </c:strRef>
          </c:tx>
          <c:spPr>
            <a:solidFill>
              <a:schemeClr val="accent2"/>
            </a:solidFill>
            <a:ln>
              <a:noFill/>
            </a:ln>
            <a:effectLst/>
          </c:spPr>
          <c:invertIfNegative val="0"/>
          <c:cat>
            <c:multiLvlStrRef>
              <c:f>Slicers!$A$2:$A$17</c:f>
              <c:multiLvlStrCache>
                <c:ptCount val="12"/>
                <c:lvl>
                  <c:pt idx="0">
                    <c:v>Average</c:v>
                  </c:pt>
                  <c:pt idx="1">
                    <c:v>Excellent</c:v>
                  </c:pt>
                  <c:pt idx="2">
                    <c:v>Poor</c:v>
                  </c:pt>
                  <c:pt idx="3">
                    <c:v>Unrated</c:v>
                  </c:pt>
                  <c:pt idx="4">
                    <c:v>Average</c:v>
                  </c:pt>
                  <c:pt idx="5">
                    <c:v>Excellent</c:v>
                  </c:pt>
                  <c:pt idx="6">
                    <c:v>Poor</c:v>
                  </c:pt>
                  <c:pt idx="7">
                    <c:v>Unrated</c:v>
                  </c:pt>
                  <c:pt idx="8">
                    <c:v>Average</c:v>
                  </c:pt>
                  <c:pt idx="9">
                    <c:v>Excellent</c:v>
                  </c:pt>
                  <c:pt idx="10">
                    <c:v>Poor</c:v>
                  </c:pt>
                  <c:pt idx="11">
                    <c:v>Unrated</c:v>
                  </c:pt>
                </c:lvl>
                <c:lvl>
                  <c:pt idx="0">
                    <c:v>High discount</c:v>
                  </c:pt>
                  <c:pt idx="4">
                    <c:v>Low discount</c:v>
                  </c:pt>
                  <c:pt idx="8">
                    <c:v>Medium discount</c:v>
                  </c:pt>
                </c:lvl>
              </c:multiLvlStrCache>
            </c:multiLvlStrRef>
          </c:cat>
          <c:val>
            <c:numRef>
              <c:f>Slicers!$C$2:$C$17</c:f>
              <c:numCache>
                <c:formatCode>General</c:formatCode>
                <c:ptCount val="12"/>
                <c:pt idx="0">
                  <c:v>11</c:v>
                </c:pt>
                <c:pt idx="1">
                  <c:v>10</c:v>
                </c:pt>
                <c:pt idx="2">
                  <c:v>10</c:v>
                </c:pt>
                <c:pt idx="3">
                  <c:v>32</c:v>
                </c:pt>
                <c:pt idx="4">
                  <c:v>2</c:v>
                </c:pt>
                <c:pt idx="5">
                  <c:v>1</c:v>
                </c:pt>
                <c:pt idx="6">
                  <c:v>1</c:v>
                </c:pt>
                <c:pt idx="7">
                  <c:v>14</c:v>
                </c:pt>
                <c:pt idx="8">
                  <c:v>9</c:v>
                </c:pt>
                <c:pt idx="9">
                  <c:v>12</c:v>
                </c:pt>
                <c:pt idx="10">
                  <c:v>1</c:v>
                </c:pt>
                <c:pt idx="11">
                  <c:v>9</c:v>
                </c:pt>
              </c:numCache>
            </c:numRef>
          </c:val>
          <c:extLst>
            <c:ext xmlns:c16="http://schemas.microsoft.com/office/drawing/2014/chart" uri="{C3380CC4-5D6E-409C-BE32-E72D297353CC}">
              <c16:uniqueId val="{00000002-5BA4-4D05-ACAA-AFA1BBE388DD}"/>
            </c:ext>
          </c:extLst>
        </c:ser>
        <c:dLbls>
          <c:showLegendKey val="0"/>
          <c:showVal val="0"/>
          <c:showCatName val="0"/>
          <c:showSerName val="0"/>
          <c:showPercent val="0"/>
          <c:showBubbleSize val="0"/>
        </c:dLbls>
        <c:gapWidth val="219"/>
        <c:overlap val="-27"/>
        <c:axId val="585469376"/>
        <c:axId val="585470456"/>
      </c:barChart>
      <c:catAx>
        <c:axId val="58546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470456"/>
        <c:crosses val="autoZero"/>
        <c:auto val="1"/>
        <c:lblAlgn val="ctr"/>
        <c:lblOffset val="100"/>
        <c:noMultiLvlLbl val="0"/>
      </c:catAx>
      <c:valAx>
        <c:axId val="585470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46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ANALYSIS.xlsx]Discount % x Reviews!PivotTable7</c:name>
    <c:fmtId val="1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0" i="0" u="none" strike="noStrike" baseline="0">
                <a:solidFill>
                  <a:sysClr val="windowText" lastClr="000000"/>
                </a:solidFill>
                <a:effectLst/>
              </a:rPr>
              <a:t>The relationship between </a:t>
            </a:r>
            <a:r>
              <a:rPr lang="en-US" sz="1400" b="1" i="0" u="none" strike="noStrike" baseline="0">
                <a:solidFill>
                  <a:sysClr val="windowText" lastClr="000000"/>
                </a:solidFill>
                <a:effectLst/>
              </a:rPr>
              <a:t>discount percentage</a:t>
            </a:r>
            <a:r>
              <a:rPr lang="en-US" sz="1400" b="0" i="0" u="none" strike="noStrike" baseline="0">
                <a:solidFill>
                  <a:sysClr val="windowText" lastClr="000000"/>
                </a:solidFill>
                <a:effectLst/>
              </a:rPr>
              <a:t> and </a:t>
            </a:r>
            <a:r>
              <a:rPr lang="en-US" sz="1400" b="1" i="0" u="none" strike="noStrike" baseline="0">
                <a:solidFill>
                  <a:sysClr val="windowText" lastClr="000000"/>
                </a:solidFill>
                <a:effectLst/>
              </a:rPr>
              <a:t>number of reviews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68B1E"/>
            </a:solidFill>
            <a:round/>
          </a:ln>
          <a:effectLst/>
        </c:spPr>
        <c:marker>
          <c:symbol val="circle"/>
          <c:size val="5"/>
          <c:spPr>
            <a:solidFill>
              <a:srgbClr val="F68B1E"/>
            </a:solidFill>
            <a:ln w="9525">
              <a:solidFill>
                <a:srgbClr val="F68B1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68B1E"/>
            </a:solidFill>
            <a:round/>
          </a:ln>
          <a:effectLst/>
        </c:spPr>
        <c:marker>
          <c:symbol val="circle"/>
          <c:size val="5"/>
          <c:spPr>
            <a:solidFill>
              <a:srgbClr val="F68B1E"/>
            </a:solidFill>
            <a:ln w="9525">
              <a:solidFill>
                <a:srgbClr val="F68B1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68B1E"/>
            </a:solidFill>
            <a:round/>
          </a:ln>
          <a:effectLst/>
        </c:spPr>
        <c:marker>
          <c:symbol val="circle"/>
          <c:size val="5"/>
          <c:spPr>
            <a:solidFill>
              <a:srgbClr val="F68B1E"/>
            </a:solidFill>
            <a:ln w="9525">
              <a:solidFill>
                <a:srgbClr val="F68B1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 x Reviews'!$B$1</c:f>
              <c:strCache>
                <c:ptCount val="1"/>
                <c:pt idx="0">
                  <c:v>Total</c:v>
                </c:pt>
              </c:strCache>
            </c:strRef>
          </c:tx>
          <c:spPr>
            <a:ln w="28575" cap="rnd">
              <a:solidFill>
                <a:srgbClr val="F68B1E"/>
              </a:solidFill>
              <a:round/>
            </a:ln>
            <a:effectLst/>
          </c:spPr>
          <c:marker>
            <c:symbol val="circle"/>
            <c:size val="5"/>
            <c:spPr>
              <a:solidFill>
                <a:srgbClr val="F68B1E"/>
              </a:solidFill>
              <a:ln w="9525">
                <a:solidFill>
                  <a:srgbClr val="F68B1E"/>
                </a:solidFill>
              </a:ln>
              <a:effectLst/>
            </c:spPr>
          </c:marker>
          <c:cat>
            <c:strRef>
              <c:f>'Discount % x Reviews'!$A$2:$A$48</c:f>
              <c:strCache>
                <c:ptCount val="46"/>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pt idx="45">
                  <c:v>64%</c:v>
                </c:pt>
              </c:strCache>
            </c:strRef>
          </c:cat>
          <c:val>
            <c:numRef>
              <c:f>'Discount % x Reviews'!$B$2:$B$48</c:f>
              <c:numCache>
                <c:formatCode>General</c:formatCode>
                <c:ptCount val="46"/>
                <c:pt idx="0">
                  <c:v>1</c:v>
                </c:pt>
                <c:pt idx="1">
                  <c:v>6</c:v>
                </c:pt>
                <c:pt idx="2">
                  <c:v>1</c:v>
                </c:pt>
                <c:pt idx="3">
                  <c:v>2</c:v>
                </c:pt>
                <c:pt idx="4">
                  <c:v>1</c:v>
                </c:pt>
                <c:pt idx="5">
                  <c:v>1</c:v>
                </c:pt>
                <c:pt idx="6">
                  <c:v>1</c:v>
                </c:pt>
                <c:pt idx="7">
                  <c:v>1</c:v>
                </c:pt>
                <c:pt idx="8">
                  <c:v>2</c:v>
                </c:pt>
                <c:pt idx="9">
                  <c:v>1</c:v>
                </c:pt>
                <c:pt idx="10">
                  <c:v>1</c:v>
                </c:pt>
                <c:pt idx="11">
                  <c:v>1</c:v>
                </c:pt>
                <c:pt idx="12">
                  <c:v>1</c:v>
                </c:pt>
                <c:pt idx="13">
                  <c:v>2</c:v>
                </c:pt>
                <c:pt idx="14">
                  <c:v>1</c:v>
                </c:pt>
                <c:pt idx="15">
                  <c:v>2</c:v>
                </c:pt>
                <c:pt idx="16">
                  <c:v>1</c:v>
                </c:pt>
                <c:pt idx="17">
                  <c:v>1</c:v>
                </c:pt>
                <c:pt idx="18">
                  <c:v>3</c:v>
                </c:pt>
                <c:pt idx="19">
                  <c:v>1</c:v>
                </c:pt>
                <c:pt idx="20">
                  <c:v>1</c:v>
                </c:pt>
                <c:pt idx="21">
                  <c:v>1</c:v>
                </c:pt>
                <c:pt idx="22">
                  <c:v>2</c:v>
                </c:pt>
                <c:pt idx="23">
                  <c:v>4</c:v>
                </c:pt>
                <c:pt idx="24">
                  <c:v>2</c:v>
                </c:pt>
                <c:pt idx="25">
                  <c:v>1</c:v>
                </c:pt>
                <c:pt idx="26">
                  <c:v>2</c:v>
                </c:pt>
                <c:pt idx="27">
                  <c:v>4</c:v>
                </c:pt>
                <c:pt idx="28">
                  <c:v>1</c:v>
                </c:pt>
                <c:pt idx="29">
                  <c:v>1</c:v>
                </c:pt>
                <c:pt idx="30">
                  <c:v>3</c:v>
                </c:pt>
                <c:pt idx="31">
                  <c:v>4</c:v>
                </c:pt>
                <c:pt idx="32">
                  <c:v>4</c:v>
                </c:pt>
                <c:pt idx="33">
                  <c:v>4</c:v>
                </c:pt>
                <c:pt idx="34">
                  <c:v>3</c:v>
                </c:pt>
                <c:pt idx="35">
                  <c:v>7</c:v>
                </c:pt>
                <c:pt idx="36">
                  <c:v>4</c:v>
                </c:pt>
                <c:pt idx="37">
                  <c:v>14</c:v>
                </c:pt>
                <c:pt idx="38">
                  <c:v>7</c:v>
                </c:pt>
                <c:pt idx="39">
                  <c:v>1</c:v>
                </c:pt>
                <c:pt idx="40">
                  <c:v>2</c:v>
                </c:pt>
                <c:pt idx="41">
                  <c:v>2</c:v>
                </c:pt>
                <c:pt idx="42">
                  <c:v>2</c:v>
                </c:pt>
                <c:pt idx="43">
                  <c:v>3</c:v>
                </c:pt>
                <c:pt idx="44">
                  <c:v>1</c:v>
                </c:pt>
                <c:pt idx="45">
                  <c:v>1</c:v>
                </c:pt>
              </c:numCache>
            </c:numRef>
          </c:val>
          <c:smooth val="0"/>
          <c:extLst>
            <c:ext xmlns:c16="http://schemas.microsoft.com/office/drawing/2014/chart" uri="{C3380CC4-5D6E-409C-BE32-E72D297353CC}">
              <c16:uniqueId val="{00000000-0A92-44A2-8944-E8F0CB73A1D6}"/>
            </c:ext>
          </c:extLst>
        </c:ser>
        <c:dLbls>
          <c:showLegendKey val="0"/>
          <c:showVal val="0"/>
          <c:showCatName val="0"/>
          <c:showSerName val="0"/>
          <c:showPercent val="0"/>
          <c:showBubbleSize val="0"/>
        </c:dLbls>
        <c:marker val="1"/>
        <c:smooth val="0"/>
        <c:axId val="557812240"/>
        <c:axId val="557811160"/>
      </c:lineChart>
      <c:catAx>
        <c:axId val="55781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57811160"/>
        <c:crosses val="autoZero"/>
        <c:auto val="1"/>
        <c:lblAlgn val="ctr"/>
        <c:lblOffset val="100"/>
        <c:noMultiLvlLbl val="0"/>
      </c:catAx>
      <c:valAx>
        <c:axId val="557811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5781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ANALYSIS.xlsx]Rating X Number of reviews!PivotTable8</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b="0" i="0" u="none" strike="noStrike" baseline="0">
                <a:solidFill>
                  <a:sysClr val="windowText" lastClr="000000"/>
                </a:solidFill>
                <a:effectLst/>
              </a:rPr>
              <a:t>The relationship between </a:t>
            </a:r>
            <a:r>
              <a:rPr lang="en-US" sz="1400" b="1" i="0" u="none" strike="noStrike" baseline="0">
                <a:solidFill>
                  <a:sysClr val="windowText" lastClr="000000"/>
                </a:solidFill>
                <a:effectLst/>
              </a:rPr>
              <a:t>rating</a:t>
            </a:r>
            <a:r>
              <a:rPr lang="en-US" sz="1400" b="0" i="0" u="none" strike="noStrike" baseline="0">
                <a:solidFill>
                  <a:sysClr val="windowText" lastClr="000000"/>
                </a:solidFill>
                <a:effectLst/>
              </a:rPr>
              <a:t> and </a:t>
            </a:r>
            <a:r>
              <a:rPr lang="en-US" sz="1400" b="1" i="0" u="none" strike="noStrike" baseline="0">
                <a:solidFill>
                  <a:sysClr val="windowText" lastClr="000000"/>
                </a:solidFill>
                <a:effectLst/>
              </a:rPr>
              <a:t>number of reviews</a:t>
            </a:r>
            <a:r>
              <a:rPr lang="en-US" sz="1400" b="0" i="0" u="none" strike="noStrike" baseline="0">
                <a:solidFill>
                  <a:sysClr val="windowText" lastClr="000000"/>
                </a:solidFill>
                <a:effectLst/>
              </a:rPr>
              <a:t>. </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68B1E"/>
            </a:solidFill>
            <a:round/>
          </a:ln>
          <a:effectLst/>
        </c:spPr>
        <c:marker>
          <c:symbol val="circle"/>
          <c:size val="5"/>
          <c:spPr>
            <a:solidFill>
              <a:srgbClr val="F68B1E"/>
            </a:solidFill>
            <a:ln w="9525">
              <a:solidFill>
                <a:srgbClr val="F68B1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68B1E"/>
            </a:solidFill>
            <a:round/>
          </a:ln>
          <a:effectLst/>
        </c:spPr>
        <c:marker>
          <c:symbol val="circle"/>
          <c:size val="5"/>
          <c:spPr>
            <a:solidFill>
              <a:srgbClr val="F68B1E"/>
            </a:solidFill>
            <a:ln w="9525">
              <a:solidFill>
                <a:srgbClr val="F68B1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68B1E"/>
            </a:solidFill>
            <a:round/>
          </a:ln>
          <a:effectLst/>
        </c:spPr>
        <c:marker>
          <c:symbol val="circle"/>
          <c:size val="5"/>
          <c:spPr>
            <a:solidFill>
              <a:srgbClr val="F68B1E"/>
            </a:solidFill>
            <a:ln w="9525">
              <a:solidFill>
                <a:srgbClr val="F68B1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X Number of reviews'!$B$1</c:f>
              <c:strCache>
                <c:ptCount val="1"/>
                <c:pt idx="0">
                  <c:v>Total</c:v>
                </c:pt>
              </c:strCache>
            </c:strRef>
          </c:tx>
          <c:spPr>
            <a:ln w="28575" cap="rnd">
              <a:solidFill>
                <a:srgbClr val="F68B1E"/>
              </a:solidFill>
              <a:round/>
            </a:ln>
            <a:effectLst/>
          </c:spPr>
          <c:marker>
            <c:symbol val="circle"/>
            <c:size val="5"/>
            <c:spPr>
              <a:solidFill>
                <a:srgbClr val="F68B1E"/>
              </a:solidFill>
              <a:ln w="9525">
                <a:solidFill>
                  <a:srgbClr val="F68B1E"/>
                </a:solidFill>
              </a:ln>
              <a:effectLst/>
            </c:spPr>
          </c:marker>
          <c:cat>
            <c:strRef>
              <c:f>'Rating X Number of reviews'!$A$2:$A$24</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'Rating X Number of reviews'!$B$2:$B$24</c:f>
              <c:numCache>
                <c:formatCode>General</c:formatCode>
                <c:ptCount val="22"/>
                <c:pt idx="0">
                  <c:v>1</c:v>
                </c:pt>
                <c:pt idx="1">
                  <c:v>2</c:v>
                </c:pt>
                <c:pt idx="2">
                  <c:v>2</c:v>
                </c:pt>
                <c:pt idx="3">
                  <c:v>2</c:v>
                </c:pt>
                <c:pt idx="4">
                  <c:v>1</c:v>
                </c:pt>
                <c:pt idx="5">
                  <c:v>1</c:v>
                </c:pt>
                <c:pt idx="6">
                  <c:v>1</c:v>
                </c:pt>
                <c:pt idx="7">
                  <c:v>1</c:v>
                </c:pt>
                <c:pt idx="8">
                  <c:v>1</c:v>
                </c:pt>
                <c:pt idx="9">
                  <c:v>5</c:v>
                </c:pt>
                <c:pt idx="10">
                  <c:v>1</c:v>
                </c:pt>
                <c:pt idx="11">
                  <c:v>3</c:v>
                </c:pt>
                <c:pt idx="12">
                  <c:v>4</c:v>
                </c:pt>
                <c:pt idx="13">
                  <c:v>3</c:v>
                </c:pt>
                <c:pt idx="14">
                  <c:v>1</c:v>
                </c:pt>
                <c:pt idx="15">
                  <c:v>4</c:v>
                </c:pt>
                <c:pt idx="16">
                  <c:v>1</c:v>
                </c:pt>
                <c:pt idx="17">
                  <c:v>4</c:v>
                </c:pt>
                <c:pt idx="18">
                  <c:v>5</c:v>
                </c:pt>
                <c:pt idx="19">
                  <c:v>4</c:v>
                </c:pt>
                <c:pt idx="20">
                  <c:v>3</c:v>
                </c:pt>
                <c:pt idx="21">
                  <c:v>7</c:v>
                </c:pt>
              </c:numCache>
            </c:numRef>
          </c:val>
          <c:smooth val="0"/>
          <c:extLst>
            <c:ext xmlns:c16="http://schemas.microsoft.com/office/drawing/2014/chart" uri="{C3380CC4-5D6E-409C-BE32-E72D297353CC}">
              <c16:uniqueId val="{00000000-25DE-436F-BD67-F30C71ADA767}"/>
            </c:ext>
          </c:extLst>
        </c:ser>
        <c:dLbls>
          <c:showLegendKey val="0"/>
          <c:showVal val="0"/>
          <c:showCatName val="0"/>
          <c:showSerName val="0"/>
          <c:showPercent val="0"/>
          <c:showBubbleSize val="0"/>
        </c:dLbls>
        <c:marker val="1"/>
        <c:smooth val="0"/>
        <c:axId val="557711424"/>
        <c:axId val="557712864"/>
      </c:lineChart>
      <c:catAx>
        <c:axId val="55771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57712864"/>
        <c:crosses val="autoZero"/>
        <c:auto val="1"/>
        <c:lblAlgn val="ctr"/>
        <c:lblOffset val="100"/>
        <c:noMultiLvlLbl val="0"/>
      </c:catAx>
      <c:valAx>
        <c:axId val="55771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5771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ANALYSIS.xlsx]Average of Discount Categories!PivotTable1</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Average of Discounts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of Discount Categories'!$B$1</c:f>
              <c:strCache>
                <c:ptCount val="1"/>
                <c:pt idx="0">
                  <c:v>Total</c:v>
                </c:pt>
              </c:strCache>
            </c:strRef>
          </c:tx>
          <c:spPr>
            <a:solidFill>
              <a:srgbClr val="F68B1E"/>
            </a:solidFill>
            <a:ln>
              <a:noFill/>
            </a:ln>
            <a:effectLst/>
          </c:spPr>
          <c:invertIfNegative val="0"/>
          <c:cat>
            <c:strRef>
              <c:f>'Average of Discount Categories'!$A$2:$A$5</c:f>
              <c:strCache>
                <c:ptCount val="3"/>
                <c:pt idx="0">
                  <c:v>High discount</c:v>
                </c:pt>
                <c:pt idx="1">
                  <c:v>Low discount</c:v>
                </c:pt>
                <c:pt idx="2">
                  <c:v>Medium discount</c:v>
                </c:pt>
              </c:strCache>
            </c:strRef>
          </c:cat>
          <c:val>
            <c:numRef>
              <c:f>'Average of Discount Categories'!$B$2:$B$5</c:f>
              <c:numCache>
                <c:formatCode>0%</c:formatCode>
                <c:ptCount val="3"/>
                <c:pt idx="0">
                  <c:v>0.48206349206349181</c:v>
                </c:pt>
                <c:pt idx="1">
                  <c:v>7.2222222222222243E-2</c:v>
                </c:pt>
                <c:pt idx="2">
                  <c:v>0.30709677419354831</c:v>
                </c:pt>
              </c:numCache>
            </c:numRef>
          </c:val>
          <c:extLst>
            <c:ext xmlns:c16="http://schemas.microsoft.com/office/drawing/2014/chart" uri="{C3380CC4-5D6E-409C-BE32-E72D297353CC}">
              <c16:uniqueId val="{00000000-FAA8-400A-BE79-4ABE6F900EC8}"/>
            </c:ext>
          </c:extLst>
        </c:ser>
        <c:dLbls>
          <c:showLegendKey val="0"/>
          <c:showVal val="0"/>
          <c:showCatName val="0"/>
          <c:showSerName val="0"/>
          <c:showPercent val="0"/>
          <c:showBubbleSize val="0"/>
        </c:dLbls>
        <c:gapWidth val="219"/>
        <c:overlap val="-27"/>
        <c:axId val="511725408"/>
        <c:axId val="511726128"/>
      </c:barChart>
      <c:catAx>
        <c:axId val="51172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1726128"/>
        <c:crosses val="autoZero"/>
        <c:auto val="1"/>
        <c:lblAlgn val="ctr"/>
        <c:lblOffset val="100"/>
        <c:noMultiLvlLbl val="0"/>
      </c:catAx>
      <c:valAx>
        <c:axId val="5117261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172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ANALYSIS.xlsx]Average of Rating Categories!PivotTable2</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Average Ratings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of Rating Categories'!$B$1</c:f>
              <c:strCache>
                <c:ptCount val="1"/>
                <c:pt idx="0">
                  <c:v>Total</c:v>
                </c:pt>
              </c:strCache>
            </c:strRef>
          </c:tx>
          <c:spPr>
            <a:solidFill>
              <a:srgbClr val="F68B1E"/>
            </a:solidFill>
            <a:ln>
              <a:noFill/>
            </a:ln>
            <a:effectLst/>
          </c:spPr>
          <c:invertIfNegative val="0"/>
          <c:cat>
            <c:strRef>
              <c:f>'Average of Rating Categories'!$A$2:$A$5</c:f>
              <c:strCache>
                <c:ptCount val="3"/>
                <c:pt idx="0">
                  <c:v>Average</c:v>
                </c:pt>
                <c:pt idx="1">
                  <c:v>Excellent</c:v>
                </c:pt>
                <c:pt idx="2">
                  <c:v>Poor</c:v>
                </c:pt>
              </c:strCache>
            </c:strRef>
          </c:cat>
          <c:val>
            <c:numRef>
              <c:f>'Average of Rating Categories'!$B$2:$B$5</c:f>
              <c:numCache>
                <c:formatCode>General</c:formatCode>
                <c:ptCount val="3"/>
                <c:pt idx="0">
                  <c:v>3.8090909090909082</c:v>
                </c:pt>
                <c:pt idx="1">
                  <c:v>4.7478260869565219</c:v>
                </c:pt>
                <c:pt idx="2">
                  <c:v>2.3916666666666666</c:v>
                </c:pt>
              </c:numCache>
            </c:numRef>
          </c:val>
          <c:extLst>
            <c:ext xmlns:c16="http://schemas.microsoft.com/office/drawing/2014/chart" uri="{C3380CC4-5D6E-409C-BE32-E72D297353CC}">
              <c16:uniqueId val="{00000000-65C2-40E6-8BE0-D7421EDBAAA6}"/>
            </c:ext>
          </c:extLst>
        </c:ser>
        <c:dLbls>
          <c:showLegendKey val="0"/>
          <c:showVal val="0"/>
          <c:showCatName val="0"/>
          <c:showSerName val="0"/>
          <c:showPercent val="0"/>
          <c:showBubbleSize val="0"/>
        </c:dLbls>
        <c:gapWidth val="219"/>
        <c:overlap val="-27"/>
        <c:axId val="368634112"/>
        <c:axId val="368634472"/>
      </c:barChart>
      <c:catAx>
        <c:axId val="36863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68634472"/>
        <c:crosses val="autoZero"/>
        <c:auto val="1"/>
        <c:lblAlgn val="ctr"/>
        <c:lblOffset val="100"/>
        <c:noMultiLvlLbl val="0"/>
      </c:catAx>
      <c:valAx>
        <c:axId val="368634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6863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ANALYSIS.xlsx]High vs low disc.-Rate &amp; Review!PivotTable15</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Average Rating</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 vs low disc.-Rate &amp; Review'!$B$115</c:f>
              <c:strCache>
                <c:ptCount val="1"/>
                <c:pt idx="0">
                  <c:v>Total</c:v>
                </c:pt>
              </c:strCache>
            </c:strRef>
          </c:tx>
          <c:spPr>
            <a:solidFill>
              <a:srgbClr val="F68B1E"/>
            </a:solidFill>
            <a:ln>
              <a:noFill/>
            </a:ln>
            <a:effectLst/>
          </c:spPr>
          <c:invertIfNegative val="0"/>
          <c:cat>
            <c:strRef>
              <c:f>'High vs low disc.-Rate &amp; Review'!$A$116:$A$118</c:f>
              <c:strCache>
                <c:ptCount val="2"/>
                <c:pt idx="0">
                  <c:v>High discount</c:v>
                </c:pt>
                <c:pt idx="1">
                  <c:v>Low discount</c:v>
                </c:pt>
              </c:strCache>
            </c:strRef>
          </c:cat>
          <c:val>
            <c:numRef>
              <c:f>'High vs low disc.-Rate &amp; Review'!$B$116:$B$118</c:f>
              <c:numCache>
                <c:formatCode>General</c:formatCode>
                <c:ptCount val="2"/>
                <c:pt idx="0">
                  <c:v>3.6580645161290311</c:v>
                </c:pt>
                <c:pt idx="1">
                  <c:v>3.7249999999999996</c:v>
                </c:pt>
              </c:numCache>
            </c:numRef>
          </c:val>
          <c:extLst>
            <c:ext xmlns:c16="http://schemas.microsoft.com/office/drawing/2014/chart" uri="{C3380CC4-5D6E-409C-BE32-E72D297353CC}">
              <c16:uniqueId val="{00000000-88A0-456F-AF37-04B1D336ECFC}"/>
            </c:ext>
          </c:extLst>
        </c:ser>
        <c:dLbls>
          <c:showLegendKey val="0"/>
          <c:showVal val="0"/>
          <c:showCatName val="0"/>
          <c:showSerName val="0"/>
          <c:showPercent val="0"/>
          <c:showBubbleSize val="0"/>
        </c:dLbls>
        <c:gapWidth val="219"/>
        <c:axId val="630657848"/>
        <c:axId val="630654968"/>
      </c:barChart>
      <c:catAx>
        <c:axId val="630657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30654968"/>
        <c:crosses val="autoZero"/>
        <c:auto val="1"/>
        <c:lblAlgn val="ctr"/>
        <c:lblOffset val="100"/>
        <c:noMultiLvlLbl val="0"/>
      </c:catAx>
      <c:valAx>
        <c:axId val="630654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30657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DATA ANALYSIS.xlsx]High vs low disc.-Rate &amp; Review!PivotTable16</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Sum</a:t>
            </a:r>
            <a:r>
              <a:rPr lang="en-US" b="1" baseline="0">
                <a:solidFill>
                  <a:sysClr val="windowText" lastClr="000000"/>
                </a:solidFill>
              </a:rPr>
              <a:t> of Reviews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68B1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 vs low disc.-Rate &amp; Review'!$B$130</c:f>
              <c:strCache>
                <c:ptCount val="1"/>
                <c:pt idx="0">
                  <c:v>Total</c:v>
                </c:pt>
              </c:strCache>
            </c:strRef>
          </c:tx>
          <c:spPr>
            <a:solidFill>
              <a:srgbClr val="F68B1E"/>
            </a:solidFill>
            <a:ln>
              <a:noFill/>
            </a:ln>
            <a:effectLst/>
          </c:spPr>
          <c:invertIfNegative val="0"/>
          <c:cat>
            <c:strRef>
              <c:f>'High vs low disc.-Rate &amp; Review'!$A$131:$A$133</c:f>
              <c:strCache>
                <c:ptCount val="2"/>
                <c:pt idx="0">
                  <c:v>High discount</c:v>
                </c:pt>
                <c:pt idx="1">
                  <c:v>Low discount</c:v>
                </c:pt>
              </c:strCache>
            </c:strRef>
          </c:cat>
          <c:val>
            <c:numRef>
              <c:f>'High vs low disc.-Rate &amp; Review'!$B$131:$B$133</c:f>
              <c:numCache>
                <c:formatCode>General</c:formatCode>
                <c:ptCount val="2"/>
                <c:pt idx="0">
                  <c:v>335</c:v>
                </c:pt>
                <c:pt idx="1">
                  <c:v>38</c:v>
                </c:pt>
              </c:numCache>
            </c:numRef>
          </c:val>
          <c:extLst>
            <c:ext xmlns:c16="http://schemas.microsoft.com/office/drawing/2014/chart" uri="{C3380CC4-5D6E-409C-BE32-E72D297353CC}">
              <c16:uniqueId val="{00000000-F44F-479D-B027-5930423BE5E3}"/>
            </c:ext>
          </c:extLst>
        </c:ser>
        <c:dLbls>
          <c:showLegendKey val="0"/>
          <c:showVal val="0"/>
          <c:showCatName val="0"/>
          <c:showSerName val="0"/>
          <c:showPercent val="0"/>
          <c:showBubbleSize val="0"/>
        </c:dLbls>
        <c:gapWidth val="219"/>
        <c:axId val="514727280"/>
        <c:axId val="514725120"/>
      </c:barChart>
      <c:catAx>
        <c:axId val="514727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14725120"/>
        <c:crosses val="autoZero"/>
        <c:auto val="1"/>
        <c:lblAlgn val="ctr"/>
        <c:lblOffset val="100"/>
        <c:noMultiLvlLbl val="0"/>
      </c:catAx>
      <c:valAx>
        <c:axId val="514725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1472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image" Target="../media/image2.png"/><Relationship Id="rId7" Type="http://schemas.openxmlformats.org/officeDocument/2006/relationships/chart" Target="../charts/chart12.xml"/><Relationship Id="rId12" Type="http://schemas.openxmlformats.org/officeDocument/2006/relationships/chart" Target="../charts/chart17.xml"/><Relationship Id="rId2" Type="http://schemas.openxmlformats.org/officeDocument/2006/relationships/hyperlink" Target="#DASHBOARD!A80"/><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16.xml"/><Relationship Id="rId5" Type="http://schemas.openxmlformats.org/officeDocument/2006/relationships/image" Target="../media/image4.png"/><Relationship Id="rId10" Type="http://schemas.openxmlformats.org/officeDocument/2006/relationships/chart" Target="../charts/chart15.xml"/><Relationship Id="rId4" Type="http://schemas.openxmlformats.org/officeDocument/2006/relationships/image" Target="../media/image3.png"/><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518160</xdr:colOff>
      <xdr:row>0</xdr:row>
      <xdr:rowOff>22860</xdr:rowOff>
    </xdr:from>
    <xdr:to>
      <xdr:col>11</xdr:col>
      <xdr:colOff>213360</xdr:colOff>
      <xdr:row>15</xdr:row>
      <xdr:rowOff>22860</xdr:rowOff>
    </xdr:to>
    <xdr:graphicFrame macro="">
      <xdr:nvGraphicFramePr>
        <xdr:cNvPr id="2" name="Chart 1">
          <a:extLst>
            <a:ext uri="{FF2B5EF4-FFF2-40B4-BE49-F238E27FC236}">
              <a16:creationId xmlns:a16="http://schemas.microsoft.com/office/drawing/2014/main" id="{6F138A6A-C20B-9865-4B3A-820E1DCDBA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xdr:colOff>
      <xdr:row>0</xdr:row>
      <xdr:rowOff>160020</xdr:rowOff>
    </xdr:from>
    <xdr:to>
      <xdr:col>11</xdr:col>
      <xdr:colOff>335280</xdr:colOff>
      <xdr:row>15</xdr:row>
      <xdr:rowOff>160020</xdr:rowOff>
    </xdr:to>
    <xdr:graphicFrame macro="">
      <xdr:nvGraphicFramePr>
        <xdr:cNvPr id="2" name="Chart 1">
          <a:extLst>
            <a:ext uri="{FF2B5EF4-FFF2-40B4-BE49-F238E27FC236}">
              <a16:creationId xmlns:a16="http://schemas.microsoft.com/office/drawing/2014/main" id="{27F30376-D410-C05F-D818-9AF12FDF3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68580</xdr:colOff>
      <xdr:row>4</xdr:row>
      <xdr:rowOff>106680</xdr:rowOff>
    </xdr:from>
    <xdr:to>
      <xdr:col>12</xdr:col>
      <xdr:colOff>373380</xdr:colOff>
      <xdr:row>19</xdr:row>
      <xdr:rowOff>106680</xdr:rowOff>
    </xdr:to>
    <xdr:graphicFrame macro="">
      <xdr:nvGraphicFramePr>
        <xdr:cNvPr id="2" name="Chart 1">
          <a:extLst>
            <a:ext uri="{FF2B5EF4-FFF2-40B4-BE49-F238E27FC236}">
              <a16:creationId xmlns:a16="http://schemas.microsoft.com/office/drawing/2014/main" id="{967169F2-07C5-595E-6C9F-ED7771202E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743940D6-B37E-7E79-AA08-973D9144B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1</xdr:row>
      <xdr:rowOff>0</xdr:rowOff>
    </xdr:from>
    <xdr:to>
      <xdr:col>13</xdr:col>
      <xdr:colOff>114300</xdr:colOff>
      <xdr:row>20</xdr:row>
      <xdr:rowOff>129540</xdr:rowOff>
    </xdr:to>
    <xdr:graphicFrame macro="">
      <xdr:nvGraphicFramePr>
        <xdr:cNvPr id="2" name="Chart 1">
          <a:extLst>
            <a:ext uri="{FF2B5EF4-FFF2-40B4-BE49-F238E27FC236}">
              <a16:creationId xmlns:a16="http://schemas.microsoft.com/office/drawing/2014/main" id="{DCB1AFFF-7B03-E406-0B73-69B141DE1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3924300</xdr:colOff>
      <xdr:row>68</xdr:row>
      <xdr:rowOff>163830</xdr:rowOff>
    </xdr:from>
    <xdr:to>
      <xdr:col>7</xdr:col>
      <xdr:colOff>220980</xdr:colOff>
      <xdr:row>84</xdr:row>
      <xdr:rowOff>76200</xdr:rowOff>
    </xdr:to>
    <xdr:graphicFrame macro="">
      <xdr:nvGraphicFramePr>
        <xdr:cNvPr id="3" name="Chart 2">
          <a:extLst>
            <a:ext uri="{FF2B5EF4-FFF2-40B4-BE49-F238E27FC236}">
              <a16:creationId xmlns:a16="http://schemas.microsoft.com/office/drawing/2014/main" id="{F24C8545-D9E7-5E27-D833-8C027B08A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53340</xdr:colOff>
      <xdr:row>5</xdr:row>
      <xdr:rowOff>53340</xdr:rowOff>
    </xdr:from>
    <xdr:to>
      <xdr:col>12</xdr:col>
      <xdr:colOff>457200</xdr:colOff>
      <xdr:row>19</xdr:row>
      <xdr:rowOff>144780</xdr:rowOff>
    </xdr:to>
    <xdr:graphicFrame macro="">
      <xdr:nvGraphicFramePr>
        <xdr:cNvPr id="2" name="Chart 1">
          <a:extLst>
            <a:ext uri="{FF2B5EF4-FFF2-40B4-BE49-F238E27FC236}">
              <a16:creationId xmlns:a16="http://schemas.microsoft.com/office/drawing/2014/main" id="{E586FFF3-8908-2CE3-36B8-0EAEC909E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53340</xdr:colOff>
      <xdr:row>5</xdr:row>
      <xdr:rowOff>53340</xdr:rowOff>
    </xdr:from>
    <xdr:to>
      <xdr:col>13</xdr:col>
      <xdr:colOff>304800</xdr:colOff>
      <xdr:row>20</xdr:row>
      <xdr:rowOff>22860</xdr:rowOff>
    </xdr:to>
    <xdr:graphicFrame macro="">
      <xdr:nvGraphicFramePr>
        <xdr:cNvPr id="2" name="Chart 1">
          <a:extLst>
            <a:ext uri="{FF2B5EF4-FFF2-40B4-BE49-F238E27FC236}">
              <a16:creationId xmlns:a16="http://schemas.microsoft.com/office/drawing/2014/main" id="{53D79BEE-CE5C-4BE9-88A6-F29DE5DC2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579120</xdr:colOff>
      <xdr:row>111</xdr:row>
      <xdr:rowOff>179070</xdr:rowOff>
    </xdr:from>
    <xdr:to>
      <xdr:col>8</xdr:col>
      <xdr:colOff>259080</xdr:colOff>
      <xdr:row>126</xdr:row>
      <xdr:rowOff>171450</xdr:rowOff>
    </xdr:to>
    <xdr:graphicFrame macro="">
      <xdr:nvGraphicFramePr>
        <xdr:cNvPr id="2" name="Chart 1">
          <a:extLst>
            <a:ext uri="{FF2B5EF4-FFF2-40B4-BE49-F238E27FC236}">
              <a16:creationId xmlns:a16="http://schemas.microsoft.com/office/drawing/2014/main" id="{BB7B918E-9F74-A588-A160-0F5738CDB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495300</xdr:colOff>
      <xdr:row>127</xdr:row>
      <xdr:rowOff>133350</xdr:rowOff>
    </xdr:from>
    <xdr:to>
      <xdr:col>9</xdr:col>
      <xdr:colOff>129540</xdr:colOff>
      <xdr:row>142</xdr:row>
      <xdr:rowOff>133350</xdr:rowOff>
    </xdr:to>
    <xdr:graphicFrame macro="">
      <xdr:nvGraphicFramePr>
        <xdr:cNvPr id="3" name="Chart 2">
          <a:extLst>
            <a:ext uri="{FF2B5EF4-FFF2-40B4-BE49-F238E27FC236}">
              <a16:creationId xmlns:a16="http://schemas.microsoft.com/office/drawing/2014/main" id="{B8A47203-4C47-F797-5A51-92DD470325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0355E199-75B0-A765-DA39-D090C7FD1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601980</xdr:colOff>
      <xdr:row>17</xdr:row>
      <xdr:rowOff>60960</xdr:rowOff>
    </xdr:from>
    <xdr:to>
      <xdr:col>6</xdr:col>
      <xdr:colOff>601980</xdr:colOff>
      <xdr:row>30</xdr:row>
      <xdr:rowOff>150495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A53BB747-B9B1-8615-2B1A-703B5860061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427220" y="3169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487680</xdr:colOff>
      <xdr:row>17</xdr:row>
      <xdr:rowOff>167641</xdr:rowOff>
    </xdr:from>
    <xdr:to>
      <xdr:col>10</xdr:col>
      <xdr:colOff>487680</xdr:colOff>
      <xdr:row>24</xdr:row>
      <xdr:rowOff>53341</xdr:rowOff>
    </xdr:to>
    <mc:AlternateContent xmlns:mc="http://schemas.openxmlformats.org/markup-compatibility/2006" xmlns:a14="http://schemas.microsoft.com/office/drawing/2010/main">
      <mc:Choice Requires="a14">
        <xdr:graphicFrame macro="">
          <xdr:nvGraphicFramePr>
            <xdr:cNvPr id="4" name="Discount Category">
              <a:extLst>
                <a:ext uri="{FF2B5EF4-FFF2-40B4-BE49-F238E27FC236}">
                  <a16:creationId xmlns:a16="http://schemas.microsoft.com/office/drawing/2014/main" id="{437DC614-CDD3-CD9E-0A8A-EEB7DA5C2051}"/>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6751320" y="3276601"/>
              <a:ext cx="182880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396240</xdr:colOff>
      <xdr:row>17</xdr:row>
      <xdr:rowOff>38101</xdr:rowOff>
    </xdr:from>
    <xdr:to>
      <xdr:col>14</xdr:col>
      <xdr:colOff>396240</xdr:colOff>
      <xdr:row>25</xdr:row>
      <xdr:rowOff>45721</xdr:rowOff>
    </xdr:to>
    <mc:AlternateContent xmlns:mc="http://schemas.openxmlformats.org/markup-compatibility/2006" xmlns:a14="http://schemas.microsoft.com/office/drawing/2010/main">
      <mc:Choice Requires="a14">
        <xdr:graphicFrame macro="">
          <xdr:nvGraphicFramePr>
            <xdr:cNvPr id="5" name="Rating Category">
              <a:extLst>
                <a:ext uri="{FF2B5EF4-FFF2-40B4-BE49-F238E27FC236}">
                  <a16:creationId xmlns:a16="http://schemas.microsoft.com/office/drawing/2014/main" id="{260251F3-555E-C9A9-1460-B6EED93ED426}"/>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9098280" y="3147061"/>
              <a:ext cx="1828800" cy="1470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464820</xdr:colOff>
      <xdr:row>17</xdr:row>
      <xdr:rowOff>144781</xdr:rowOff>
    </xdr:from>
    <xdr:to>
      <xdr:col>10</xdr:col>
      <xdr:colOff>464820</xdr:colOff>
      <xdr:row>24</xdr:row>
      <xdr:rowOff>30481</xdr:rowOff>
    </xdr:to>
    <mc:AlternateContent xmlns:mc="http://schemas.openxmlformats.org/markup-compatibility/2006" xmlns:a14="http://schemas.microsoft.com/office/drawing/2010/main">
      <mc:Choice Requires="a14">
        <xdr:graphicFrame macro="">
          <xdr:nvGraphicFramePr>
            <xdr:cNvPr id="6" name="Discount Category 1">
              <a:extLst>
                <a:ext uri="{FF2B5EF4-FFF2-40B4-BE49-F238E27FC236}">
                  <a16:creationId xmlns:a16="http://schemas.microsoft.com/office/drawing/2014/main" id="{44D1D1DD-EB03-60DF-5604-0EAC34CCF044}"/>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6728460" y="3253741"/>
              <a:ext cx="182880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1</xdr:colOff>
      <xdr:row>16</xdr:row>
      <xdr:rowOff>0</xdr:rowOff>
    </xdr:from>
    <xdr:to>
      <xdr:col>6</xdr:col>
      <xdr:colOff>586740</xdr:colOff>
      <xdr:row>20</xdr:row>
      <xdr:rowOff>134100</xdr:rowOff>
    </xdr:to>
    <xdr:pic>
      <xdr:nvPicPr>
        <xdr:cNvPr id="3" name="Picture 2">
          <a:extLst>
            <a:ext uri="{FF2B5EF4-FFF2-40B4-BE49-F238E27FC236}">
              <a16:creationId xmlns:a16="http://schemas.microsoft.com/office/drawing/2014/main" id="{C07A381A-6FD5-0C8C-63E7-166AF1E951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33801" y="3657600"/>
          <a:ext cx="1196339" cy="8961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4</xdr:col>
      <xdr:colOff>112954</xdr:colOff>
      <xdr:row>1</xdr:row>
      <xdr:rowOff>38101</xdr:rowOff>
    </xdr:from>
    <xdr:to>
      <xdr:col>18</xdr:col>
      <xdr:colOff>554914</xdr:colOff>
      <xdr:row>3</xdr:row>
      <xdr:rowOff>137161</xdr:rowOff>
    </xdr:to>
    <xdr:sp macro="" textlink="">
      <xdr:nvSpPr>
        <xdr:cNvPr id="2" name="Rectangle 1">
          <a:extLst>
            <a:ext uri="{FF2B5EF4-FFF2-40B4-BE49-F238E27FC236}">
              <a16:creationId xmlns:a16="http://schemas.microsoft.com/office/drawing/2014/main" id="{B72D4152-96CD-7334-9FF9-6931C5FD7024}"/>
            </a:ext>
          </a:extLst>
        </xdr:cNvPr>
        <xdr:cNvSpPr/>
      </xdr:nvSpPr>
      <xdr:spPr>
        <a:xfrm>
          <a:off x="1941754" y="226360"/>
          <a:ext cx="8976360" cy="457648"/>
        </a:xfrm>
        <a:prstGeom prst="rect">
          <a:avLst/>
        </a:prstGeom>
        <a:solidFill>
          <a:srgbClr val="F68B1E"/>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ysClr val="windowText" lastClr="000000"/>
              </a:solidFill>
            </a:rPr>
            <a:t>Jumia Product Performance Dashboard</a:t>
          </a:r>
        </a:p>
      </xdr:txBody>
    </xdr:sp>
    <xdr:clientData/>
  </xdr:twoCellAnchor>
  <xdr:twoCellAnchor editAs="oneCell">
    <xdr:from>
      <xdr:col>1</xdr:col>
      <xdr:colOff>71717</xdr:colOff>
      <xdr:row>1</xdr:row>
      <xdr:rowOff>68580</xdr:rowOff>
    </xdr:from>
    <xdr:to>
      <xdr:col>3</xdr:col>
      <xdr:colOff>469258</xdr:colOff>
      <xdr:row>7</xdr:row>
      <xdr:rowOff>143435</xdr:rowOff>
    </xdr:to>
    <xdr:pic>
      <xdr:nvPicPr>
        <xdr:cNvPr id="4" name="Picture 3">
          <a:extLst>
            <a:ext uri="{FF2B5EF4-FFF2-40B4-BE49-F238E27FC236}">
              <a16:creationId xmlns:a16="http://schemas.microsoft.com/office/drawing/2014/main" id="{D7217436-C502-48AB-A824-4653C8B603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5482" y="256839"/>
          <a:ext cx="1616741" cy="1150620"/>
        </a:xfrm>
        <a:prstGeom prst="rect">
          <a:avLst/>
        </a:prstGeom>
      </xdr:spPr>
    </xdr:pic>
    <xdr:clientData/>
  </xdr:twoCellAnchor>
  <xdr:twoCellAnchor>
    <xdr:from>
      <xdr:col>4</xdr:col>
      <xdr:colOff>129539</xdr:colOff>
      <xdr:row>4</xdr:row>
      <xdr:rowOff>7620</xdr:rowOff>
    </xdr:from>
    <xdr:to>
      <xdr:col>6</xdr:col>
      <xdr:colOff>251010</xdr:colOff>
      <xdr:row>7</xdr:row>
      <xdr:rowOff>125505</xdr:rowOff>
    </xdr:to>
    <xdr:sp macro="" textlink="">
      <xdr:nvSpPr>
        <xdr:cNvPr id="5" name="Rectangle 4">
          <a:extLst>
            <a:ext uri="{FF2B5EF4-FFF2-40B4-BE49-F238E27FC236}">
              <a16:creationId xmlns:a16="http://schemas.microsoft.com/office/drawing/2014/main" id="{F754D7DA-8989-4070-A402-3EA706CAB642}"/>
            </a:ext>
          </a:extLst>
        </xdr:cNvPr>
        <xdr:cNvSpPr/>
      </xdr:nvSpPr>
      <xdr:spPr>
        <a:xfrm>
          <a:off x="2272104" y="733761"/>
          <a:ext cx="1340671" cy="655768"/>
        </a:xfrm>
        <a:prstGeom prst="rect">
          <a:avLst/>
        </a:prstGeom>
        <a:solidFill>
          <a:srgbClr val="F68B1E"/>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4A4A4A"/>
              </a:solidFill>
            </a:rPr>
            <a:t>Total Products</a:t>
          </a:r>
        </a:p>
        <a:p>
          <a:pPr algn="ctr"/>
          <a:r>
            <a:rPr lang="en-US" sz="1800" b="1">
              <a:solidFill>
                <a:sysClr val="windowText" lastClr="000000"/>
              </a:solidFill>
            </a:rPr>
            <a:t>112</a:t>
          </a:r>
        </a:p>
        <a:p>
          <a:pPr algn="ctr"/>
          <a:endParaRPr lang="en-US" sz="1100"/>
        </a:p>
      </xdr:txBody>
    </xdr:sp>
    <xdr:clientData/>
  </xdr:twoCellAnchor>
  <xdr:twoCellAnchor editAs="oneCell">
    <xdr:from>
      <xdr:col>1</xdr:col>
      <xdr:colOff>62753</xdr:colOff>
      <xdr:row>8</xdr:row>
      <xdr:rowOff>51099</xdr:rowOff>
    </xdr:from>
    <xdr:to>
      <xdr:col>4</xdr:col>
      <xdr:colOff>146573</xdr:colOff>
      <xdr:row>34</xdr:row>
      <xdr:rowOff>0</xdr:rowOff>
    </xdr:to>
    <mc:AlternateContent xmlns:mc="http://schemas.openxmlformats.org/markup-compatibility/2006">
      <mc:Choice xmlns:a14="http://schemas.microsoft.com/office/drawing/2010/main" Requires="a14">
        <xdr:graphicFrame macro="">
          <xdr:nvGraphicFramePr>
            <xdr:cNvPr id="6" name="Product 1">
              <a:extLst>
                <a:ext uri="{FF2B5EF4-FFF2-40B4-BE49-F238E27FC236}">
                  <a16:creationId xmlns:a16="http://schemas.microsoft.com/office/drawing/2014/main" id="{45E8ED6E-87AF-4199-BEF8-F610B87C033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78439" y="1542442"/>
              <a:ext cx="1912620" cy="4760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186017</xdr:colOff>
      <xdr:row>22</xdr:row>
      <xdr:rowOff>89647</xdr:rowOff>
    </xdr:from>
    <xdr:to>
      <xdr:col>7</xdr:col>
      <xdr:colOff>251011</xdr:colOff>
      <xdr:row>34</xdr:row>
      <xdr:rowOff>35859</xdr:rowOff>
    </xdr:to>
    <mc:AlternateContent xmlns:mc="http://schemas.openxmlformats.org/markup-compatibility/2006">
      <mc:Choice xmlns:a14="http://schemas.microsoft.com/office/drawing/2010/main" Requires="a14">
        <xdr:graphicFrame macro="">
          <xdr:nvGraphicFramePr>
            <xdr:cNvPr id="9" name="Discount Category 2">
              <a:extLst>
                <a:ext uri="{FF2B5EF4-FFF2-40B4-BE49-F238E27FC236}">
                  <a16:creationId xmlns:a16="http://schemas.microsoft.com/office/drawing/2014/main" id="{FABD9C52-33F2-43E8-B6E0-4DD88A71552E}"/>
                </a:ext>
              </a:extLst>
            </xdr:cNvPr>
            <xdr:cNvGraphicFramePr/>
          </xdr:nvGraphicFramePr>
          <xdr:xfrm>
            <a:off x="0" y="0"/>
            <a:ext cx="0" cy="0"/>
          </xdr:xfrm>
          <a:graphic>
            <a:graphicData uri="http://schemas.microsoft.com/office/drawing/2010/slicer">
              <sle:slicer xmlns:sle="http://schemas.microsoft.com/office/drawing/2010/slicer" name="Discount Category 2"/>
            </a:graphicData>
          </a:graphic>
        </xdr:graphicFrame>
      </mc:Choice>
      <mc:Fallback>
        <xdr:sp macro="" textlink="">
          <xdr:nvSpPr>
            <xdr:cNvPr id="0" name=""/>
            <xdr:cNvSpPr>
              <a:spLocks noTextEdit="1"/>
            </xdr:cNvSpPr>
          </xdr:nvSpPr>
          <xdr:spPr>
            <a:xfrm>
              <a:off x="2330503" y="4171790"/>
              <a:ext cx="1893794" cy="2166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221877</xdr:colOff>
      <xdr:row>8</xdr:row>
      <xdr:rowOff>67682</xdr:rowOff>
    </xdr:from>
    <xdr:to>
      <xdr:col>7</xdr:col>
      <xdr:colOff>268941</xdr:colOff>
      <xdr:row>22</xdr:row>
      <xdr:rowOff>8964</xdr:rowOff>
    </xdr:to>
    <mc:AlternateContent xmlns:mc="http://schemas.openxmlformats.org/markup-compatibility/2006">
      <mc:Choice xmlns:a14="http://schemas.microsoft.com/office/drawing/2010/main" Requires="a14">
        <xdr:graphicFrame macro="">
          <xdr:nvGraphicFramePr>
            <xdr:cNvPr id="11" name="Rating Category 1">
              <a:extLst>
                <a:ext uri="{FF2B5EF4-FFF2-40B4-BE49-F238E27FC236}">
                  <a16:creationId xmlns:a16="http://schemas.microsoft.com/office/drawing/2014/main" id="{2AE78652-4750-4E9A-8F50-482341AE5B5F}"/>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2366363" y="1559025"/>
              <a:ext cx="1875864" cy="25320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449580</xdr:colOff>
      <xdr:row>33</xdr:row>
      <xdr:rowOff>99060</xdr:rowOff>
    </xdr:from>
    <xdr:to>
      <xdr:col>19</xdr:col>
      <xdr:colOff>0</xdr:colOff>
      <xdr:row>35</xdr:row>
      <xdr:rowOff>0</xdr:rowOff>
    </xdr:to>
    <xdr:sp macro="" textlink="">
      <xdr:nvSpPr>
        <xdr:cNvPr id="13" name="Rectangle 12">
          <a:hlinkClick xmlns:r="http://schemas.openxmlformats.org/officeDocument/2006/relationships" r:id="rId2"/>
          <a:extLst>
            <a:ext uri="{FF2B5EF4-FFF2-40B4-BE49-F238E27FC236}">
              <a16:creationId xmlns:a16="http://schemas.microsoft.com/office/drawing/2014/main" id="{61BC3108-1440-48F5-90CE-0DB96C99E542}"/>
            </a:ext>
          </a:extLst>
        </xdr:cNvPr>
        <xdr:cNvSpPr/>
      </xdr:nvSpPr>
      <xdr:spPr>
        <a:xfrm>
          <a:off x="10203180" y="4495800"/>
          <a:ext cx="769620" cy="274320"/>
        </a:xfrm>
        <a:prstGeom prst="rect">
          <a:avLst/>
        </a:prstGeom>
        <a:solidFill>
          <a:srgbClr val="F68B1E"/>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solidFill>
                <a:sysClr val="windowText" lastClr="000000"/>
              </a:solidFill>
            </a:rPr>
            <a:t>More infor</a:t>
          </a:r>
        </a:p>
      </xdr:txBody>
    </xdr:sp>
    <xdr:clientData/>
  </xdr:twoCellAnchor>
  <xdr:twoCellAnchor>
    <xdr:from>
      <xdr:col>7</xdr:col>
      <xdr:colOff>546846</xdr:colOff>
      <xdr:row>4</xdr:row>
      <xdr:rowOff>35859</xdr:rowOff>
    </xdr:from>
    <xdr:to>
      <xdr:col>10</xdr:col>
      <xdr:colOff>125505</xdr:colOff>
      <xdr:row>7</xdr:row>
      <xdr:rowOff>161364</xdr:rowOff>
    </xdr:to>
    <xdr:sp macro="" textlink="">
      <xdr:nvSpPr>
        <xdr:cNvPr id="8" name="Rectangle 7">
          <a:extLst>
            <a:ext uri="{FF2B5EF4-FFF2-40B4-BE49-F238E27FC236}">
              <a16:creationId xmlns:a16="http://schemas.microsoft.com/office/drawing/2014/main" id="{304A5153-42F1-48C8-95A0-72B1A60332A5}"/>
            </a:ext>
          </a:extLst>
        </xdr:cNvPr>
        <xdr:cNvSpPr/>
      </xdr:nvSpPr>
      <xdr:spPr>
        <a:xfrm>
          <a:off x="4518211" y="762000"/>
          <a:ext cx="1407459" cy="663388"/>
        </a:xfrm>
        <a:prstGeom prst="rect">
          <a:avLst/>
        </a:prstGeom>
        <a:solidFill>
          <a:srgbClr val="F68B1E"/>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a:solidFill>
                <a:srgbClr val="4A4A4A"/>
              </a:solidFill>
              <a:latin typeface="+mn-lt"/>
              <a:ea typeface="+mn-ea"/>
              <a:cs typeface="+mn-cs"/>
            </a:rPr>
            <a:t>Average Rating</a:t>
          </a:r>
        </a:p>
        <a:p>
          <a:pPr marL="0" indent="0" algn="ctr"/>
          <a:r>
            <a:rPr lang="en-US" sz="1800" b="1">
              <a:solidFill>
                <a:sysClr val="windowText" lastClr="000000"/>
              </a:solidFill>
              <a:latin typeface="+mn-lt"/>
              <a:ea typeface="+mn-ea"/>
              <a:cs typeface="+mn-cs"/>
            </a:rPr>
            <a:t>4</a:t>
          </a:r>
        </a:p>
      </xdr:txBody>
    </xdr:sp>
    <xdr:clientData/>
  </xdr:twoCellAnchor>
  <xdr:twoCellAnchor>
    <xdr:from>
      <xdr:col>11</xdr:col>
      <xdr:colOff>367554</xdr:colOff>
      <xdr:row>4</xdr:row>
      <xdr:rowOff>35857</xdr:rowOff>
    </xdr:from>
    <xdr:to>
      <xdr:col>14</xdr:col>
      <xdr:colOff>116542</xdr:colOff>
      <xdr:row>7</xdr:row>
      <xdr:rowOff>134469</xdr:rowOff>
    </xdr:to>
    <xdr:sp macro="" textlink="">
      <xdr:nvSpPr>
        <xdr:cNvPr id="10" name="Rectangle 9">
          <a:extLst>
            <a:ext uri="{FF2B5EF4-FFF2-40B4-BE49-F238E27FC236}">
              <a16:creationId xmlns:a16="http://schemas.microsoft.com/office/drawing/2014/main" id="{65C2BDDD-AA1F-49DF-9207-B81623CEDCEC}"/>
            </a:ext>
          </a:extLst>
        </xdr:cNvPr>
        <xdr:cNvSpPr/>
      </xdr:nvSpPr>
      <xdr:spPr>
        <a:xfrm>
          <a:off x="6777319" y="761998"/>
          <a:ext cx="1577788" cy="636495"/>
        </a:xfrm>
        <a:prstGeom prst="rect">
          <a:avLst/>
        </a:prstGeom>
        <a:solidFill>
          <a:srgbClr val="F68B1E"/>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a:solidFill>
                <a:srgbClr val="4A4A4A"/>
              </a:solidFill>
              <a:latin typeface="+mn-lt"/>
              <a:ea typeface="+mn-ea"/>
              <a:cs typeface="+mn-cs"/>
            </a:rPr>
            <a:t>Average Discount</a:t>
          </a:r>
        </a:p>
        <a:p>
          <a:pPr marL="0" indent="0" algn="ctr"/>
          <a:r>
            <a:rPr lang="en-US" sz="1800" b="1">
              <a:solidFill>
                <a:sysClr val="windowText" lastClr="000000"/>
              </a:solidFill>
              <a:latin typeface="+mn-lt"/>
              <a:ea typeface="+mn-ea"/>
              <a:cs typeface="+mn-cs"/>
            </a:rPr>
            <a:t>37%</a:t>
          </a:r>
        </a:p>
      </xdr:txBody>
    </xdr:sp>
    <xdr:clientData/>
  </xdr:twoCellAnchor>
  <xdr:twoCellAnchor>
    <xdr:from>
      <xdr:col>15</xdr:col>
      <xdr:colOff>421340</xdr:colOff>
      <xdr:row>4</xdr:row>
      <xdr:rowOff>8965</xdr:rowOff>
    </xdr:from>
    <xdr:to>
      <xdr:col>18</xdr:col>
      <xdr:colOff>188258</xdr:colOff>
      <xdr:row>7</xdr:row>
      <xdr:rowOff>107576</xdr:rowOff>
    </xdr:to>
    <xdr:sp macro="" textlink="">
      <xdr:nvSpPr>
        <xdr:cNvPr id="14" name="Rectangle 13">
          <a:extLst>
            <a:ext uri="{FF2B5EF4-FFF2-40B4-BE49-F238E27FC236}">
              <a16:creationId xmlns:a16="http://schemas.microsoft.com/office/drawing/2014/main" id="{72D49653-0A73-43D5-A686-3024EC28020E}"/>
            </a:ext>
          </a:extLst>
        </xdr:cNvPr>
        <xdr:cNvSpPr/>
      </xdr:nvSpPr>
      <xdr:spPr>
        <a:xfrm>
          <a:off x="9269505" y="735106"/>
          <a:ext cx="1595718" cy="636494"/>
        </a:xfrm>
        <a:prstGeom prst="rect">
          <a:avLst/>
        </a:prstGeom>
        <a:solidFill>
          <a:srgbClr val="F68B1E"/>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a:solidFill>
                <a:srgbClr val="4A4A4A"/>
              </a:solidFill>
              <a:latin typeface="+mn-lt"/>
              <a:ea typeface="+mn-ea"/>
              <a:cs typeface="+mn-cs"/>
            </a:rPr>
            <a:t>Total Reviews</a:t>
          </a:r>
        </a:p>
        <a:p>
          <a:pPr marL="0" indent="0" algn="ctr"/>
          <a:r>
            <a:rPr lang="en-US" sz="1800" b="1">
              <a:solidFill>
                <a:sysClr val="windowText" lastClr="000000"/>
              </a:solidFill>
              <a:latin typeface="+mn-lt"/>
              <a:ea typeface="+mn-ea"/>
              <a:cs typeface="+mn-cs"/>
            </a:rPr>
            <a:t>723</a:t>
          </a:r>
        </a:p>
      </xdr:txBody>
    </xdr:sp>
    <xdr:clientData/>
  </xdr:twoCellAnchor>
  <xdr:twoCellAnchor>
    <xdr:from>
      <xdr:col>4</xdr:col>
      <xdr:colOff>71718</xdr:colOff>
      <xdr:row>44</xdr:row>
      <xdr:rowOff>107577</xdr:rowOff>
    </xdr:from>
    <xdr:to>
      <xdr:col>18</xdr:col>
      <xdr:colOff>513678</xdr:colOff>
      <xdr:row>47</xdr:row>
      <xdr:rowOff>27343</xdr:rowOff>
    </xdr:to>
    <xdr:sp macro="" textlink="">
      <xdr:nvSpPr>
        <xdr:cNvPr id="19" name="Rectangle 18">
          <a:extLst>
            <a:ext uri="{FF2B5EF4-FFF2-40B4-BE49-F238E27FC236}">
              <a16:creationId xmlns:a16="http://schemas.microsoft.com/office/drawing/2014/main" id="{40896B1A-FA85-4AB0-B2E7-71C99C223CE2}"/>
            </a:ext>
          </a:extLst>
        </xdr:cNvPr>
        <xdr:cNvSpPr/>
      </xdr:nvSpPr>
      <xdr:spPr>
        <a:xfrm>
          <a:off x="1900518" y="7664824"/>
          <a:ext cx="8976360" cy="457648"/>
        </a:xfrm>
        <a:prstGeom prst="rect">
          <a:avLst/>
        </a:prstGeom>
        <a:solidFill>
          <a:srgbClr val="F68B1E"/>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ysClr val="windowText" lastClr="000000"/>
              </a:solidFill>
            </a:rPr>
            <a:t>Jumia Product Performance Dashboard</a:t>
          </a:r>
        </a:p>
      </xdr:txBody>
    </xdr:sp>
    <xdr:clientData/>
  </xdr:twoCellAnchor>
  <xdr:twoCellAnchor editAs="oneCell">
    <xdr:from>
      <xdr:col>1</xdr:col>
      <xdr:colOff>71718</xdr:colOff>
      <xdr:row>44</xdr:row>
      <xdr:rowOff>26893</xdr:rowOff>
    </xdr:from>
    <xdr:to>
      <xdr:col>2</xdr:col>
      <xdr:colOff>251013</xdr:colOff>
      <xdr:row>47</xdr:row>
      <xdr:rowOff>68413</xdr:rowOff>
    </xdr:to>
    <xdr:pic>
      <xdr:nvPicPr>
        <xdr:cNvPr id="20" name="Picture 19">
          <a:extLst>
            <a:ext uri="{FF2B5EF4-FFF2-40B4-BE49-F238E27FC236}">
              <a16:creationId xmlns:a16="http://schemas.microsoft.com/office/drawing/2014/main" id="{0309D6DE-098F-4A28-A485-2DCDBD89E3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718" y="7584140"/>
          <a:ext cx="788895" cy="579403"/>
        </a:xfrm>
        <a:prstGeom prst="rect">
          <a:avLst/>
        </a:prstGeom>
      </xdr:spPr>
    </xdr:pic>
    <xdr:clientData/>
  </xdr:twoCellAnchor>
  <xdr:twoCellAnchor editAs="oneCell">
    <xdr:from>
      <xdr:col>1</xdr:col>
      <xdr:colOff>0</xdr:colOff>
      <xdr:row>47</xdr:row>
      <xdr:rowOff>53789</xdr:rowOff>
    </xdr:from>
    <xdr:to>
      <xdr:col>10</xdr:col>
      <xdr:colOff>107576</xdr:colOff>
      <xdr:row>57</xdr:row>
      <xdr:rowOff>132570</xdr:rowOff>
    </xdr:to>
    <xdr:pic>
      <xdr:nvPicPr>
        <xdr:cNvPr id="12288" name="Picture 12287">
          <a:extLst>
            <a:ext uri="{FF2B5EF4-FFF2-40B4-BE49-F238E27FC236}">
              <a16:creationId xmlns:a16="http://schemas.microsoft.com/office/drawing/2014/main" id="{FF2C5AA4-6452-165F-785B-76FEBE9E3C9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8148918"/>
          <a:ext cx="5593976" cy="1871722"/>
        </a:xfrm>
        <a:prstGeom prst="rect">
          <a:avLst/>
        </a:prstGeom>
      </xdr:spPr>
    </xdr:pic>
    <xdr:clientData/>
  </xdr:twoCellAnchor>
  <xdr:twoCellAnchor editAs="oneCell">
    <xdr:from>
      <xdr:col>1</xdr:col>
      <xdr:colOff>0</xdr:colOff>
      <xdr:row>58</xdr:row>
      <xdr:rowOff>0</xdr:rowOff>
    </xdr:from>
    <xdr:to>
      <xdr:col>10</xdr:col>
      <xdr:colOff>98612</xdr:colOff>
      <xdr:row>68</xdr:row>
      <xdr:rowOff>150430</xdr:rowOff>
    </xdr:to>
    <xdr:pic>
      <xdr:nvPicPr>
        <xdr:cNvPr id="12290" name="Picture 12289">
          <a:extLst>
            <a:ext uri="{FF2B5EF4-FFF2-40B4-BE49-F238E27FC236}">
              <a16:creationId xmlns:a16="http://schemas.microsoft.com/office/drawing/2014/main" id="{4A195138-3FD1-D206-AB12-BCD47D28E03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0067365"/>
          <a:ext cx="5585012" cy="1943371"/>
        </a:xfrm>
        <a:prstGeom prst="rect">
          <a:avLst/>
        </a:prstGeom>
      </xdr:spPr>
    </xdr:pic>
    <xdr:clientData/>
  </xdr:twoCellAnchor>
  <xdr:twoCellAnchor editAs="oneCell">
    <xdr:from>
      <xdr:col>10</xdr:col>
      <xdr:colOff>179295</xdr:colOff>
      <xdr:row>47</xdr:row>
      <xdr:rowOff>35859</xdr:rowOff>
    </xdr:from>
    <xdr:to>
      <xdr:col>18</xdr:col>
      <xdr:colOff>528919</xdr:colOff>
      <xdr:row>58</xdr:row>
      <xdr:rowOff>80684</xdr:rowOff>
    </xdr:to>
    <xdr:pic>
      <xdr:nvPicPr>
        <xdr:cNvPr id="12293" name="Picture 12292">
          <a:extLst>
            <a:ext uri="{FF2B5EF4-FFF2-40B4-BE49-F238E27FC236}">
              <a16:creationId xmlns:a16="http://schemas.microsoft.com/office/drawing/2014/main" id="{461B1F6B-C36B-1F13-1C37-3D981CD9B1D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665695" y="8130988"/>
          <a:ext cx="5226424" cy="2017060"/>
        </a:xfrm>
        <a:prstGeom prst="rect">
          <a:avLst/>
        </a:prstGeom>
      </xdr:spPr>
    </xdr:pic>
    <xdr:clientData/>
  </xdr:twoCellAnchor>
  <xdr:twoCellAnchor editAs="oneCell">
    <xdr:from>
      <xdr:col>1</xdr:col>
      <xdr:colOff>0</xdr:colOff>
      <xdr:row>69</xdr:row>
      <xdr:rowOff>1</xdr:rowOff>
    </xdr:from>
    <xdr:to>
      <xdr:col>10</xdr:col>
      <xdr:colOff>89647</xdr:colOff>
      <xdr:row>79</xdr:row>
      <xdr:rowOff>170329</xdr:rowOff>
    </xdr:to>
    <xdr:pic>
      <xdr:nvPicPr>
        <xdr:cNvPr id="12295" name="Picture 12294">
          <a:extLst>
            <a:ext uri="{FF2B5EF4-FFF2-40B4-BE49-F238E27FC236}">
              <a16:creationId xmlns:a16="http://schemas.microsoft.com/office/drawing/2014/main" id="{14CD35F1-2C7D-8DA2-87AC-8484E428B43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13765" y="12039601"/>
          <a:ext cx="5576047" cy="1963269"/>
        </a:xfrm>
        <a:prstGeom prst="rect">
          <a:avLst/>
        </a:prstGeom>
      </xdr:spPr>
    </xdr:pic>
    <xdr:clientData/>
  </xdr:twoCellAnchor>
  <xdr:twoCellAnchor>
    <xdr:from>
      <xdr:col>7</xdr:col>
      <xdr:colOff>322730</xdr:colOff>
      <xdr:row>8</xdr:row>
      <xdr:rowOff>80681</xdr:rowOff>
    </xdr:from>
    <xdr:to>
      <xdr:col>13</xdr:col>
      <xdr:colOff>600635</xdr:colOff>
      <xdr:row>22</xdr:row>
      <xdr:rowOff>8965</xdr:rowOff>
    </xdr:to>
    <xdr:graphicFrame macro="">
      <xdr:nvGraphicFramePr>
        <xdr:cNvPr id="12297" name="Chart 12296">
          <a:extLst>
            <a:ext uri="{FF2B5EF4-FFF2-40B4-BE49-F238E27FC236}">
              <a16:creationId xmlns:a16="http://schemas.microsoft.com/office/drawing/2014/main" id="{0B1978E0-D209-4274-AC5C-EB2366495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313764</xdr:colOff>
      <xdr:row>22</xdr:row>
      <xdr:rowOff>89648</xdr:rowOff>
    </xdr:from>
    <xdr:to>
      <xdr:col>13</xdr:col>
      <xdr:colOff>600635</xdr:colOff>
      <xdr:row>34</xdr:row>
      <xdr:rowOff>35859</xdr:rowOff>
    </xdr:to>
    <xdr:graphicFrame macro="">
      <xdr:nvGraphicFramePr>
        <xdr:cNvPr id="12299" name="Chart 12298">
          <a:extLst>
            <a:ext uri="{FF2B5EF4-FFF2-40B4-BE49-F238E27FC236}">
              <a16:creationId xmlns:a16="http://schemas.microsoft.com/office/drawing/2014/main" id="{D89EC0B7-669E-44DD-9998-5B885B3F8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35858</xdr:colOff>
      <xdr:row>8</xdr:row>
      <xdr:rowOff>89647</xdr:rowOff>
    </xdr:from>
    <xdr:to>
      <xdr:col>18</xdr:col>
      <xdr:colOff>537882</xdr:colOff>
      <xdr:row>22</xdr:row>
      <xdr:rowOff>8965</xdr:rowOff>
    </xdr:to>
    <xdr:graphicFrame macro="">
      <xdr:nvGraphicFramePr>
        <xdr:cNvPr id="12301" name="Chart 12300">
          <a:extLst>
            <a:ext uri="{FF2B5EF4-FFF2-40B4-BE49-F238E27FC236}">
              <a16:creationId xmlns:a16="http://schemas.microsoft.com/office/drawing/2014/main" id="{EFD5563F-B5FA-4DDB-8345-742328320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26895</xdr:colOff>
      <xdr:row>22</xdr:row>
      <xdr:rowOff>71718</xdr:rowOff>
    </xdr:from>
    <xdr:to>
      <xdr:col>18</xdr:col>
      <xdr:colOff>528917</xdr:colOff>
      <xdr:row>33</xdr:row>
      <xdr:rowOff>44823</xdr:rowOff>
    </xdr:to>
    <xdr:graphicFrame macro="">
      <xdr:nvGraphicFramePr>
        <xdr:cNvPr id="12303" name="Chart 12302">
          <a:extLst>
            <a:ext uri="{FF2B5EF4-FFF2-40B4-BE49-F238E27FC236}">
              <a16:creationId xmlns:a16="http://schemas.microsoft.com/office/drawing/2014/main" id="{1BCE32A3-40A6-47AC-B60B-8157F5B28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179294</xdr:colOff>
      <xdr:row>58</xdr:row>
      <xdr:rowOff>152400</xdr:rowOff>
    </xdr:from>
    <xdr:to>
      <xdr:col>18</xdr:col>
      <xdr:colOff>510987</xdr:colOff>
      <xdr:row>68</xdr:row>
      <xdr:rowOff>143435</xdr:rowOff>
    </xdr:to>
    <xdr:graphicFrame macro="">
      <xdr:nvGraphicFramePr>
        <xdr:cNvPr id="12304" name="Chart 12303">
          <a:extLst>
            <a:ext uri="{FF2B5EF4-FFF2-40B4-BE49-F238E27FC236}">
              <a16:creationId xmlns:a16="http://schemas.microsoft.com/office/drawing/2014/main" id="{E310D6B6-9B88-4E44-8B09-8447AC522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197224</xdr:colOff>
      <xdr:row>69</xdr:row>
      <xdr:rowOff>89648</xdr:rowOff>
    </xdr:from>
    <xdr:to>
      <xdr:col>18</xdr:col>
      <xdr:colOff>510988</xdr:colOff>
      <xdr:row>79</xdr:row>
      <xdr:rowOff>98612</xdr:rowOff>
    </xdr:to>
    <xdr:graphicFrame macro="">
      <xdr:nvGraphicFramePr>
        <xdr:cNvPr id="12306" name="Chart 12305">
          <a:extLst>
            <a:ext uri="{FF2B5EF4-FFF2-40B4-BE49-F238E27FC236}">
              <a16:creationId xmlns:a16="http://schemas.microsoft.com/office/drawing/2014/main" id="{64EDB9F3-4F2F-4778-8D3C-3171B78A9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ssy" refreshedDate="46008.482744444445" createdVersion="8" refreshedVersion="8" minRefreshableVersion="3" recordCount="112" xr:uid="{DF07BCC4-3279-4750-9848-36B0D3F5BA72}">
  <cacheSource type="worksheet">
    <worksheetSource ref="E1:F113" sheet="DATA CLEANING"/>
  </cacheSource>
  <cacheFields count="2">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Discount Category" numFmtId="9">
      <sharedItems count="3">
        <s v="Medium discount"/>
        <s v="High discount"/>
        <s v="Low discount"/>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ssy" refreshedDate="46008.486519560189" createdVersion="8" refreshedVersion="8" minRefreshableVersion="3" recordCount="112" xr:uid="{9FFAD08C-1CA2-4909-8935-7B1CCB8FBCDA}">
  <cacheSource type="worksheet">
    <worksheetSource ref="H1:I113" sheet="DATA CLEANING"/>
  </cacheSource>
  <cacheFields count="2">
    <cacheField name="Rating (Out of 5)" numFmtId="1">
      <sharedItems containsMixedTypes="1" containsNumber="1" minValue="2" maxValue="5" count="23">
        <n v="4.5"/>
        <n v="4.0999999999999996"/>
        <n v="4.5999999999999996"/>
        <n v="4.7"/>
        <n v="4.8"/>
        <n v="4"/>
        <n v="3.8"/>
        <n v="4.2"/>
        <n v="5"/>
        <n v="3.3"/>
        <s v="No Rating"/>
        <n v="4.4000000000000004"/>
        <n v="4.3"/>
        <n v="2.5"/>
        <n v="3"/>
        <n v="2.1"/>
        <n v="2.8"/>
        <n v="2.7"/>
        <n v="2.9"/>
        <n v="2.2000000000000002"/>
        <n v="2.2999999999999998"/>
        <n v="2.6"/>
        <n v="2"/>
      </sharedItems>
    </cacheField>
    <cacheField name="Rating Category" numFmtId="0">
      <sharedItems count="4">
        <s v="Excellent"/>
        <s v="Average"/>
        <s v="Unrated"/>
        <s v="Poor"/>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ssy" refreshedDate="46008.513602777777" createdVersion="8" refreshedVersion="8" minRefreshableVersion="3" recordCount="112" xr:uid="{9154C9E8-7423-4808-A721-BBB45A772186}">
  <cacheSource type="worksheet">
    <worksheetSource ref="A1:I113" sheet="DATA CLEANING"/>
  </cacheSource>
  <cacheFields count="9">
    <cacheField name="Product" numFmtId="49">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Ksh)" numFmtId="1">
      <sharedItems containsSemiMixedTypes="0" containsString="0" containsNumber="1" containsInteger="1" minValue="38" maxValue="3750"/>
    </cacheField>
    <cacheField name="old price (Ksh)" numFmtId="1">
      <sharedItems containsSemiMixedTypes="0" containsString="0" containsNumber="1" containsInteger="1" minValue="80" maxValue="6143"/>
    </cacheField>
    <cacheField name="Absolute Discount(Ksh)" numFmtId="1">
      <sharedItems containsSemiMixedTypes="0" containsString="0" containsNumber="1" containsInteger="1" minValue="24" maxValue="2585"/>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Discount Category" numFmtId="9">
      <sharedItems count="3">
        <s v="Medium discount"/>
        <s v="High discount"/>
        <s v="Low discount"/>
      </sharedItems>
    </cacheField>
    <cacheField name="Review" numFmtId="1">
      <sharedItems containsMixedTypes="1" containsNumber="1" containsInteger="1" minValue="1" maxValue="69" count="24">
        <n v="2"/>
        <n v="14"/>
        <n v="24"/>
        <n v="7"/>
        <n v="5"/>
        <n v="15"/>
        <n v="55"/>
        <n v="12"/>
        <n v="39"/>
        <n v="6"/>
        <n v="9"/>
        <n v="3"/>
        <n v="44"/>
        <n v="13"/>
        <s v="No Review"/>
        <n v="49"/>
        <n v="20"/>
        <n v="32"/>
        <n v="1"/>
        <n v="36"/>
        <n v="10"/>
        <n v="69"/>
        <n v="16"/>
        <n v="17"/>
      </sharedItems>
    </cacheField>
    <cacheField name="Rating (Out of 5)" numFmtId="1">
      <sharedItems containsMixedTypes="1" containsNumber="1" minValue="2" maxValue="5" count="23">
        <n v="4.5"/>
        <n v="4.0999999999999996"/>
        <n v="4.5999999999999996"/>
        <n v="4.7"/>
        <n v="4.8"/>
        <n v="4"/>
        <n v="3.8"/>
        <n v="4.2"/>
        <n v="5"/>
        <n v="3.3"/>
        <s v="No Rating"/>
        <n v="4.4000000000000004"/>
        <n v="4.3"/>
        <n v="2.5"/>
        <n v="3"/>
        <n v="2.1"/>
        <n v="2.8"/>
        <n v="2.7"/>
        <n v="2.9"/>
        <n v="2.2000000000000002"/>
        <n v="2.2999999999999998"/>
        <n v="2.6"/>
        <n v="2"/>
      </sharedItems>
    </cacheField>
    <cacheField name="Rating Category" numFmtId="0">
      <sharedItems count="4">
        <s v="Excellent"/>
        <s v="Average"/>
        <s v="Unrated"/>
        <s v="Poor"/>
      </sharedItems>
    </cacheField>
  </cacheFields>
  <extLst>
    <ext xmlns:x14="http://schemas.microsoft.com/office/spreadsheetml/2009/9/main" uri="{725AE2AE-9491-48be-B2B4-4EB974FC3084}">
      <x14:pivotCacheDefinition pivotCacheId="199963735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ssy" refreshedDate="46008.551972569447" createdVersion="8" refreshedVersion="8" minRefreshableVersion="3" recordCount="57" xr:uid="{F44D8226-51E4-41F9-A244-74613CC4EAE4}">
  <cacheSource type="worksheet">
    <worksheetSource ref="B1:C58" sheet="Bottom 5 Rated Products"/>
  </cacheSource>
  <cacheFields count="2">
    <cacheField name="Product" numFmtId="49">
      <sharedItems count="57">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Memory Foam Neck Pillow Cover, With Pillow Core - 50*30cm"/>
        <s v="Bedroom Simple Floor Hanging Clothes Rack Single Pole Hat Rack - White"/>
        <s v="Household Pineapple Peeler Peeler"/>
        <s v="Konka Healty Electric Kettle, 24-hour Heat Preservation,1.5L,800W, White"/>
        <s v="Wall-mounted Sticker Punch-free Plug Fixer"/>
      </sharedItems>
    </cacheField>
    <cacheField name="Rating (Out of 5)" numFmtId="164">
      <sharedItems containsSemiMixedTypes="0" containsString="0" containsNumber="1" minValue="2" maxValue="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ssy" refreshedDate="46008.614095717596" createdVersion="8" refreshedVersion="8" minRefreshableVersion="3" recordCount="112" xr:uid="{C50D0295-E032-41BB-B07E-3C5F508AD34A}">
  <cacheSource type="worksheet">
    <worksheetSource ref="A1:D113" sheet="High vs low disc.-Rate &amp; Review"/>
  </cacheSource>
  <cacheFields count="4">
    <cacheField name="Product" numFmtId="49">
      <sharedItems/>
    </cacheField>
    <cacheField name="Review" numFmtId="1">
      <sharedItems containsMixedTypes="1" containsNumber="1" containsInteger="1" minValue="1" maxValue="69" count="24">
        <n v="2"/>
        <n v="14"/>
        <n v="24"/>
        <n v="7"/>
        <n v="5"/>
        <n v="15"/>
        <n v="55"/>
        <n v="12"/>
        <n v="39"/>
        <n v="6"/>
        <n v="9"/>
        <n v="3"/>
        <n v="44"/>
        <n v="13"/>
        <s v="No Review"/>
        <n v="49"/>
        <n v="20"/>
        <n v="32"/>
        <n v="1"/>
        <n v="36"/>
        <n v="10"/>
        <n v="69"/>
        <n v="16"/>
        <n v="17"/>
      </sharedItems>
    </cacheField>
    <cacheField name="Rating (Out of 5)" numFmtId="164">
      <sharedItems containsMixedTypes="1" containsNumber="1" minValue="2" maxValue="5" count="23">
        <n v="4.5"/>
        <n v="4.0999999999999996"/>
        <n v="4.5999999999999996"/>
        <n v="4.7"/>
        <n v="4.8"/>
        <n v="4"/>
        <n v="3.8"/>
        <n v="4.2"/>
        <n v="5"/>
        <n v="3.3"/>
        <s v="No Rating"/>
        <n v="4.4000000000000004"/>
        <n v="4.3"/>
        <n v="2.5"/>
        <n v="3"/>
        <n v="2.1"/>
        <n v="2.8"/>
        <n v="2.7"/>
        <n v="2.9"/>
        <n v="2.2000000000000002"/>
        <n v="2.2999999999999998"/>
        <n v="2.6"/>
        <n v="2"/>
      </sharedItems>
    </cacheField>
    <cacheField name="Discount Category" numFmtId="9">
      <sharedItems count="3">
        <s v="Medium discount"/>
        <s v="High discount"/>
        <s v="Low discoun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x v="0"/>
  </r>
  <r>
    <x v="1"/>
    <x v="1"/>
  </r>
  <r>
    <x v="2"/>
    <x v="0"/>
  </r>
  <r>
    <x v="3"/>
    <x v="0"/>
  </r>
  <r>
    <x v="4"/>
    <x v="0"/>
  </r>
  <r>
    <x v="5"/>
    <x v="2"/>
  </r>
  <r>
    <x v="6"/>
    <x v="0"/>
  </r>
  <r>
    <x v="3"/>
    <x v="0"/>
  </r>
  <r>
    <x v="7"/>
    <x v="1"/>
  </r>
  <r>
    <x v="8"/>
    <x v="1"/>
  </r>
  <r>
    <x v="9"/>
    <x v="0"/>
  </r>
  <r>
    <x v="10"/>
    <x v="0"/>
  </r>
  <r>
    <x v="1"/>
    <x v="1"/>
  </r>
  <r>
    <x v="11"/>
    <x v="1"/>
  </r>
  <r>
    <x v="12"/>
    <x v="0"/>
  </r>
  <r>
    <x v="13"/>
    <x v="1"/>
  </r>
  <r>
    <x v="14"/>
    <x v="1"/>
  </r>
  <r>
    <x v="15"/>
    <x v="1"/>
  </r>
  <r>
    <x v="16"/>
    <x v="2"/>
  </r>
  <r>
    <x v="15"/>
    <x v="1"/>
  </r>
  <r>
    <x v="17"/>
    <x v="1"/>
  </r>
  <r>
    <x v="11"/>
    <x v="1"/>
  </r>
  <r>
    <x v="18"/>
    <x v="0"/>
  </r>
  <r>
    <x v="19"/>
    <x v="0"/>
  </r>
  <r>
    <x v="20"/>
    <x v="1"/>
  </r>
  <r>
    <x v="18"/>
    <x v="0"/>
  </r>
  <r>
    <x v="21"/>
    <x v="2"/>
  </r>
  <r>
    <x v="22"/>
    <x v="0"/>
  </r>
  <r>
    <x v="23"/>
    <x v="0"/>
  </r>
  <r>
    <x v="14"/>
    <x v="1"/>
  </r>
  <r>
    <x v="24"/>
    <x v="1"/>
  </r>
  <r>
    <x v="10"/>
    <x v="0"/>
  </r>
  <r>
    <x v="25"/>
    <x v="1"/>
  </r>
  <r>
    <x v="26"/>
    <x v="0"/>
  </r>
  <r>
    <x v="26"/>
    <x v="0"/>
  </r>
  <r>
    <x v="27"/>
    <x v="1"/>
  </r>
  <r>
    <x v="17"/>
    <x v="1"/>
  </r>
  <r>
    <x v="28"/>
    <x v="1"/>
  </r>
  <r>
    <x v="0"/>
    <x v="0"/>
  </r>
  <r>
    <x v="0"/>
    <x v="0"/>
  </r>
  <r>
    <x v="15"/>
    <x v="1"/>
  </r>
  <r>
    <x v="29"/>
    <x v="1"/>
  </r>
  <r>
    <x v="11"/>
    <x v="1"/>
  </r>
  <r>
    <x v="30"/>
    <x v="2"/>
  </r>
  <r>
    <x v="29"/>
    <x v="1"/>
  </r>
  <r>
    <x v="12"/>
    <x v="0"/>
  </r>
  <r>
    <x v="15"/>
    <x v="1"/>
  </r>
  <r>
    <x v="0"/>
    <x v="0"/>
  </r>
  <r>
    <x v="31"/>
    <x v="1"/>
  </r>
  <r>
    <x v="29"/>
    <x v="1"/>
  </r>
  <r>
    <x v="30"/>
    <x v="2"/>
  </r>
  <r>
    <x v="32"/>
    <x v="0"/>
  </r>
  <r>
    <x v="33"/>
    <x v="2"/>
  </r>
  <r>
    <x v="28"/>
    <x v="1"/>
  </r>
  <r>
    <x v="8"/>
    <x v="1"/>
  </r>
  <r>
    <x v="25"/>
    <x v="1"/>
  </r>
  <r>
    <x v="15"/>
    <x v="1"/>
  </r>
  <r>
    <x v="26"/>
    <x v="0"/>
  </r>
  <r>
    <x v="7"/>
    <x v="1"/>
  </r>
  <r>
    <x v="34"/>
    <x v="2"/>
  </r>
  <r>
    <x v="20"/>
    <x v="1"/>
  </r>
  <r>
    <x v="7"/>
    <x v="1"/>
  </r>
  <r>
    <x v="15"/>
    <x v="1"/>
  </r>
  <r>
    <x v="24"/>
    <x v="1"/>
  </r>
  <r>
    <x v="32"/>
    <x v="0"/>
  </r>
  <r>
    <x v="8"/>
    <x v="1"/>
  </r>
  <r>
    <x v="29"/>
    <x v="1"/>
  </r>
  <r>
    <x v="35"/>
    <x v="0"/>
  </r>
  <r>
    <x v="8"/>
    <x v="1"/>
  </r>
  <r>
    <x v="36"/>
    <x v="0"/>
  </r>
  <r>
    <x v="37"/>
    <x v="1"/>
  </r>
  <r>
    <x v="37"/>
    <x v="1"/>
  </r>
  <r>
    <x v="1"/>
    <x v="1"/>
  </r>
  <r>
    <x v="1"/>
    <x v="1"/>
  </r>
  <r>
    <x v="1"/>
    <x v="1"/>
  </r>
  <r>
    <x v="37"/>
    <x v="1"/>
  </r>
  <r>
    <x v="38"/>
    <x v="2"/>
  </r>
  <r>
    <x v="15"/>
    <x v="1"/>
  </r>
  <r>
    <x v="14"/>
    <x v="1"/>
  </r>
  <r>
    <x v="15"/>
    <x v="1"/>
  </r>
  <r>
    <x v="39"/>
    <x v="0"/>
  </r>
  <r>
    <x v="30"/>
    <x v="2"/>
  </r>
  <r>
    <x v="15"/>
    <x v="1"/>
  </r>
  <r>
    <x v="15"/>
    <x v="1"/>
  </r>
  <r>
    <x v="40"/>
    <x v="2"/>
  </r>
  <r>
    <x v="15"/>
    <x v="1"/>
  </r>
  <r>
    <x v="41"/>
    <x v="2"/>
  </r>
  <r>
    <x v="15"/>
    <x v="1"/>
  </r>
  <r>
    <x v="40"/>
    <x v="2"/>
  </r>
  <r>
    <x v="37"/>
    <x v="1"/>
  </r>
  <r>
    <x v="29"/>
    <x v="1"/>
  </r>
  <r>
    <x v="25"/>
    <x v="1"/>
  </r>
  <r>
    <x v="25"/>
    <x v="1"/>
  </r>
  <r>
    <x v="1"/>
    <x v="1"/>
  </r>
  <r>
    <x v="29"/>
    <x v="1"/>
  </r>
  <r>
    <x v="42"/>
    <x v="2"/>
  </r>
  <r>
    <x v="30"/>
    <x v="2"/>
  </r>
  <r>
    <x v="15"/>
    <x v="1"/>
  </r>
  <r>
    <x v="38"/>
    <x v="2"/>
  </r>
  <r>
    <x v="15"/>
    <x v="1"/>
  </r>
  <r>
    <x v="11"/>
    <x v="1"/>
  </r>
  <r>
    <x v="43"/>
    <x v="0"/>
  </r>
  <r>
    <x v="28"/>
    <x v="1"/>
  </r>
  <r>
    <x v="44"/>
    <x v="2"/>
  </r>
  <r>
    <x v="6"/>
    <x v="0"/>
  </r>
  <r>
    <x v="10"/>
    <x v="0"/>
  </r>
  <r>
    <x v="10"/>
    <x v="0"/>
  </r>
  <r>
    <x v="30"/>
    <x v="2"/>
  </r>
  <r>
    <x v="30"/>
    <x v="2"/>
  </r>
  <r>
    <x v="45"/>
    <x v="1"/>
  </r>
  <r>
    <x v="29"/>
    <x v="1"/>
  </r>
  <r>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x v="0"/>
  </r>
  <r>
    <x v="1"/>
    <x v="1"/>
  </r>
  <r>
    <x v="2"/>
    <x v="0"/>
  </r>
  <r>
    <x v="3"/>
    <x v="0"/>
  </r>
  <r>
    <x v="4"/>
    <x v="0"/>
  </r>
  <r>
    <x v="5"/>
    <x v="1"/>
  </r>
  <r>
    <x v="2"/>
    <x v="0"/>
  </r>
  <r>
    <x v="5"/>
    <x v="1"/>
  </r>
  <r>
    <x v="4"/>
    <x v="0"/>
  </r>
  <r>
    <x v="6"/>
    <x v="1"/>
  </r>
  <r>
    <x v="1"/>
    <x v="1"/>
  </r>
  <r>
    <x v="3"/>
    <x v="0"/>
  </r>
  <r>
    <x v="4"/>
    <x v="0"/>
  </r>
  <r>
    <x v="0"/>
    <x v="0"/>
  </r>
  <r>
    <x v="7"/>
    <x v="1"/>
  </r>
  <r>
    <x v="8"/>
    <x v="0"/>
  </r>
  <r>
    <x v="8"/>
    <x v="0"/>
  </r>
  <r>
    <x v="8"/>
    <x v="0"/>
  </r>
  <r>
    <x v="2"/>
    <x v="0"/>
  </r>
  <r>
    <x v="2"/>
    <x v="0"/>
  </r>
  <r>
    <x v="9"/>
    <x v="1"/>
  </r>
  <r>
    <x v="10"/>
    <x v="2"/>
  </r>
  <r>
    <x v="5"/>
    <x v="1"/>
  </r>
  <r>
    <x v="11"/>
    <x v="1"/>
  </r>
  <r>
    <x v="12"/>
    <x v="1"/>
  </r>
  <r>
    <x v="2"/>
    <x v="0"/>
  </r>
  <r>
    <x v="6"/>
    <x v="1"/>
  </r>
  <r>
    <x v="6"/>
    <x v="1"/>
  </r>
  <r>
    <x v="1"/>
    <x v="1"/>
  </r>
  <r>
    <x v="10"/>
    <x v="2"/>
  </r>
  <r>
    <x v="12"/>
    <x v="1"/>
  </r>
  <r>
    <x v="3"/>
    <x v="0"/>
  </r>
  <r>
    <x v="12"/>
    <x v="1"/>
  </r>
  <r>
    <x v="3"/>
    <x v="0"/>
  </r>
  <r>
    <x v="0"/>
    <x v="0"/>
  </r>
  <r>
    <x v="8"/>
    <x v="0"/>
  </r>
  <r>
    <x v="8"/>
    <x v="0"/>
  </r>
  <r>
    <x v="12"/>
    <x v="1"/>
  </r>
  <r>
    <x v="0"/>
    <x v="0"/>
  </r>
  <r>
    <x v="10"/>
    <x v="2"/>
  </r>
  <r>
    <x v="10"/>
    <x v="2"/>
  </r>
  <r>
    <x v="10"/>
    <x v="2"/>
  </r>
  <r>
    <x v="10"/>
    <x v="2"/>
  </r>
  <r>
    <x v="10"/>
    <x v="2"/>
  </r>
  <r>
    <x v="10"/>
    <x v="2"/>
  </r>
  <r>
    <x v="10"/>
    <x v="2"/>
  </r>
  <r>
    <x v="10"/>
    <x v="2"/>
  </r>
  <r>
    <x v="10"/>
    <x v="2"/>
  </r>
  <r>
    <x v="10"/>
    <x v="2"/>
  </r>
  <r>
    <x v="10"/>
    <x v="2"/>
  </r>
  <r>
    <x v="10"/>
    <x v="2"/>
  </r>
  <r>
    <x v="10"/>
    <x v="2"/>
  </r>
  <r>
    <x v="10"/>
    <x v="2"/>
  </r>
  <r>
    <x v="10"/>
    <x v="2"/>
  </r>
  <r>
    <x v="10"/>
    <x v="2"/>
  </r>
  <r>
    <x v="10"/>
    <x v="2"/>
  </r>
  <r>
    <x v="10"/>
    <x v="2"/>
  </r>
  <r>
    <x v="10"/>
    <x v="2"/>
  </r>
  <r>
    <x v="10"/>
    <x v="2"/>
  </r>
  <r>
    <x v="13"/>
    <x v="3"/>
  </r>
  <r>
    <x v="14"/>
    <x v="1"/>
  </r>
  <r>
    <x v="15"/>
    <x v="3"/>
  </r>
  <r>
    <x v="16"/>
    <x v="3"/>
  </r>
  <r>
    <x v="17"/>
    <x v="3"/>
  </r>
  <r>
    <x v="18"/>
    <x v="3"/>
  </r>
  <r>
    <x v="19"/>
    <x v="3"/>
  </r>
  <r>
    <x v="20"/>
    <x v="3"/>
  </r>
  <r>
    <x v="14"/>
    <x v="1"/>
  </r>
  <r>
    <x v="21"/>
    <x v="3"/>
  </r>
  <r>
    <x v="14"/>
    <x v="1"/>
  </r>
  <r>
    <x v="20"/>
    <x v="3"/>
  </r>
  <r>
    <x v="14"/>
    <x v="1"/>
  </r>
  <r>
    <x v="19"/>
    <x v="3"/>
  </r>
  <r>
    <x v="15"/>
    <x v="3"/>
  </r>
  <r>
    <x v="10"/>
    <x v="2"/>
  </r>
  <r>
    <x v="10"/>
    <x v="2"/>
  </r>
  <r>
    <x v="10"/>
    <x v="2"/>
  </r>
  <r>
    <x v="10"/>
    <x v="2"/>
  </r>
  <r>
    <x v="14"/>
    <x v="1"/>
  </r>
  <r>
    <x v="8"/>
    <x v="0"/>
  </r>
  <r>
    <x v="10"/>
    <x v="2"/>
  </r>
  <r>
    <x v="10"/>
    <x v="2"/>
  </r>
  <r>
    <x v="5"/>
    <x v="1"/>
  </r>
  <r>
    <x v="10"/>
    <x v="2"/>
  </r>
  <r>
    <x v="10"/>
    <x v="2"/>
  </r>
  <r>
    <x v="10"/>
    <x v="2"/>
  </r>
  <r>
    <x v="10"/>
    <x v="2"/>
  </r>
  <r>
    <x v="10"/>
    <x v="2"/>
  </r>
  <r>
    <x v="10"/>
    <x v="2"/>
  </r>
  <r>
    <x v="10"/>
    <x v="2"/>
  </r>
  <r>
    <x v="10"/>
    <x v="2"/>
  </r>
  <r>
    <x v="10"/>
    <x v="2"/>
  </r>
  <r>
    <x v="10"/>
    <x v="2"/>
  </r>
  <r>
    <x v="10"/>
    <x v="2"/>
  </r>
  <r>
    <x v="10"/>
    <x v="2"/>
  </r>
  <r>
    <x v="10"/>
    <x v="2"/>
  </r>
  <r>
    <x v="10"/>
    <x v="2"/>
  </r>
  <r>
    <x v="10"/>
    <x v="2"/>
  </r>
  <r>
    <x v="10"/>
    <x v="2"/>
  </r>
  <r>
    <x v="10"/>
    <x v="2"/>
  </r>
  <r>
    <x v="10"/>
    <x v="2"/>
  </r>
  <r>
    <x v="8"/>
    <x v="0"/>
  </r>
  <r>
    <x v="10"/>
    <x v="2"/>
  </r>
  <r>
    <x v="10"/>
    <x v="2"/>
  </r>
  <r>
    <x v="10"/>
    <x v="2"/>
  </r>
  <r>
    <x v="10"/>
    <x v="2"/>
  </r>
  <r>
    <x v="10"/>
    <x v="2"/>
  </r>
  <r>
    <x v="10"/>
    <x v="2"/>
  </r>
  <r>
    <x v="10"/>
    <x v="2"/>
  </r>
  <r>
    <x v="10"/>
    <x v="2"/>
  </r>
  <r>
    <x v="22"/>
    <x v="3"/>
  </r>
  <r>
    <x v="10"/>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n v="575"/>
    <x v="0"/>
    <x v="0"/>
    <x v="0"/>
    <x v="0"/>
    <x v="0"/>
  </r>
  <r>
    <x v="1"/>
    <n v="527"/>
    <n v="999"/>
    <n v="472"/>
    <x v="1"/>
    <x v="1"/>
    <x v="1"/>
    <x v="1"/>
    <x v="1"/>
  </r>
  <r>
    <x v="2"/>
    <n v="2199"/>
    <n v="2923"/>
    <n v="724"/>
    <x v="2"/>
    <x v="0"/>
    <x v="2"/>
    <x v="2"/>
    <x v="0"/>
  </r>
  <r>
    <x v="3"/>
    <n v="1580"/>
    <n v="2499"/>
    <n v="919"/>
    <x v="3"/>
    <x v="0"/>
    <x v="3"/>
    <x v="3"/>
    <x v="0"/>
  </r>
  <r>
    <x v="4"/>
    <n v="1740"/>
    <n v="2356"/>
    <n v="616"/>
    <x v="4"/>
    <x v="0"/>
    <x v="4"/>
    <x v="4"/>
    <x v="0"/>
  </r>
  <r>
    <x v="5"/>
    <n v="2999"/>
    <n v="3290"/>
    <n v="291"/>
    <x v="5"/>
    <x v="2"/>
    <x v="5"/>
    <x v="5"/>
    <x v="1"/>
  </r>
  <r>
    <x v="6"/>
    <n v="2319"/>
    <n v="3032"/>
    <n v="713"/>
    <x v="6"/>
    <x v="0"/>
    <x v="6"/>
    <x v="2"/>
    <x v="0"/>
  </r>
  <r>
    <x v="7"/>
    <n v="988"/>
    <n v="1580"/>
    <n v="592"/>
    <x v="3"/>
    <x v="0"/>
    <x v="0"/>
    <x v="5"/>
    <x v="1"/>
  </r>
  <r>
    <x v="8"/>
    <n v="1274"/>
    <n v="2800"/>
    <n v="1526"/>
    <x v="7"/>
    <x v="1"/>
    <x v="4"/>
    <x v="4"/>
    <x v="0"/>
  </r>
  <r>
    <x v="9"/>
    <n v="1600"/>
    <n v="2929"/>
    <n v="1329"/>
    <x v="8"/>
    <x v="1"/>
    <x v="4"/>
    <x v="6"/>
    <x v="1"/>
  </r>
  <r>
    <x v="10"/>
    <n v="799"/>
    <n v="999"/>
    <n v="200"/>
    <x v="9"/>
    <x v="0"/>
    <x v="7"/>
    <x v="1"/>
    <x v="1"/>
  </r>
  <r>
    <x v="11"/>
    <n v="990"/>
    <n v="1500"/>
    <n v="510"/>
    <x v="10"/>
    <x v="0"/>
    <x v="8"/>
    <x v="3"/>
    <x v="0"/>
  </r>
  <r>
    <x v="12"/>
    <n v="552"/>
    <n v="1035"/>
    <n v="483"/>
    <x v="1"/>
    <x v="1"/>
    <x v="7"/>
    <x v="4"/>
    <x v="0"/>
  </r>
  <r>
    <x v="13"/>
    <n v="501"/>
    <n v="860"/>
    <n v="359"/>
    <x v="11"/>
    <x v="1"/>
    <x v="9"/>
    <x v="0"/>
    <x v="0"/>
  </r>
  <r>
    <x v="14"/>
    <n v="1680"/>
    <n v="2499"/>
    <n v="819"/>
    <x v="12"/>
    <x v="0"/>
    <x v="10"/>
    <x v="7"/>
    <x v="1"/>
  </r>
  <r>
    <x v="15"/>
    <n v="332"/>
    <n v="684"/>
    <n v="352"/>
    <x v="13"/>
    <x v="1"/>
    <x v="0"/>
    <x v="8"/>
    <x v="0"/>
  </r>
  <r>
    <x v="16"/>
    <n v="195"/>
    <n v="360"/>
    <n v="165"/>
    <x v="14"/>
    <x v="1"/>
    <x v="0"/>
    <x v="8"/>
    <x v="0"/>
  </r>
  <r>
    <x v="17"/>
    <n v="2025"/>
    <n v="3971"/>
    <n v="1946"/>
    <x v="15"/>
    <x v="1"/>
    <x v="11"/>
    <x v="8"/>
    <x v="0"/>
  </r>
  <r>
    <x v="18"/>
    <n v="2999"/>
    <n v="3699"/>
    <n v="700"/>
    <x v="16"/>
    <x v="2"/>
    <x v="4"/>
    <x v="2"/>
    <x v="0"/>
  </r>
  <r>
    <x v="19"/>
    <n v="998"/>
    <n v="1966"/>
    <n v="968"/>
    <x v="15"/>
    <x v="1"/>
    <x v="12"/>
    <x v="2"/>
    <x v="0"/>
  </r>
  <r>
    <x v="20"/>
    <n v="38"/>
    <n v="80"/>
    <n v="42"/>
    <x v="17"/>
    <x v="1"/>
    <x v="13"/>
    <x v="9"/>
    <x v="1"/>
  </r>
  <r>
    <x v="21"/>
    <n v="1860"/>
    <n v="3220"/>
    <n v="1360"/>
    <x v="11"/>
    <x v="1"/>
    <x v="14"/>
    <x v="10"/>
    <x v="2"/>
  </r>
  <r>
    <x v="22"/>
    <n v="880"/>
    <n v="1350"/>
    <n v="470"/>
    <x v="18"/>
    <x v="0"/>
    <x v="9"/>
    <x v="5"/>
    <x v="1"/>
  </r>
  <r>
    <x v="23"/>
    <n v="1650"/>
    <n v="2150"/>
    <n v="500"/>
    <x v="19"/>
    <x v="0"/>
    <x v="1"/>
    <x v="11"/>
    <x v="1"/>
  </r>
  <r>
    <x v="24"/>
    <n v="2048"/>
    <n v="4500"/>
    <n v="2452"/>
    <x v="20"/>
    <x v="1"/>
    <x v="3"/>
    <x v="12"/>
    <x v="1"/>
  </r>
  <r>
    <x v="25"/>
    <n v="420"/>
    <n v="647"/>
    <n v="227"/>
    <x v="18"/>
    <x v="0"/>
    <x v="15"/>
    <x v="2"/>
    <x v="0"/>
  </r>
  <r>
    <x v="26"/>
    <n v="2880"/>
    <n v="3520"/>
    <n v="640"/>
    <x v="21"/>
    <x v="2"/>
    <x v="7"/>
    <x v="6"/>
    <x v="1"/>
  </r>
  <r>
    <x v="27"/>
    <n v="1350"/>
    <n v="1990"/>
    <n v="640"/>
    <x v="22"/>
    <x v="0"/>
    <x v="13"/>
    <x v="6"/>
    <x v="1"/>
  </r>
  <r>
    <x v="28"/>
    <n v="1758"/>
    <n v="2499"/>
    <n v="741"/>
    <x v="23"/>
    <x v="0"/>
    <x v="16"/>
    <x v="1"/>
    <x v="1"/>
  </r>
  <r>
    <x v="29"/>
    <n v="2200"/>
    <n v="4080"/>
    <n v="1880"/>
    <x v="14"/>
    <x v="1"/>
    <x v="14"/>
    <x v="10"/>
    <x v="2"/>
  </r>
  <r>
    <x v="30"/>
    <n v="185"/>
    <n v="382"/>
    <n v="197"/>
    <x v="24"/>
    <x v="1"/>
    <x v="10"/>
    <x v="12"/>
    <x v="1"/>
  </r>
  <r>
    <x v="31"/>
    <n v="980"/>
    <n v="1490"/>
    <n v="510"/>
    <x v="10"/>
    <x v="0"/>
    <x v="7"/>
    <x v="3"/>
    <x v="0"/>
  </r>
  <r>
    <x v="32"/>
    <n v="1820"/>
    <n v="3490"/>
    <n v="1670"/>
    <x v="25"/>
    <x v="1"/>
    <x v="10"/>
    <x v="12"/>
    <x v="1"/>
  </r>
  <r>
    <x v="33"/>
    <n v="1940"/>
    <n v="2650"/>
    <n v="710"/>
    <x v="26"/>
    <x v="0"/>
    <x v="16"/>
    <x v="3"/>
    <x v="0"/>
  </r>
  <r>
    <x v="34"/>
    <n v="1980"/>
    <n v="2699"/>
    <n v="719"/>
    <x v="26"/>
    <x v="0"/>
    <x v="17"/>
    <x v="0"/>
    <x v="0"/>
  </r>
  <r>
    <x v="35"/>
    <n v="1620"/>
    <n v="2690"/>
    <n v="1070"/>
    <x v="27"/>
    <x v="1"/>
    <x v="18"/>
    <x v="8"/>
    <x v="0"/>
  </r>
  <r>
    <x v="36"/>
    <n v="171"/>
    <n v="360"/>
    <n v="189"/>
    <x v="17"/>
    <x v="1"/>
    <x v="0"/>
    <x v="8"/>
    <x v="0"/>
  </r>
  <r>
    <x v="37"/>
    <n v="389"/>
    <n v="656"/>
    <n v="267"/>
    <x v="28"/>
    <x v="1"/>
    <x v="19"/>
    <x v="12"/>
    <x v="1"/>
  </r>
  <r>
    <x v="38"/>
    <n v="1800"/>
    <n v="2700"/>
    <n v="900"/>
    <x v="0"/>
    <x v="0"/>
    <x v="0"/>
    <x v="0"/>
    <x v="0"/>
  </r>
  <r>
    <x v="39"/>
    <n v="2750"/>
    <n v="4471"/>
    <n v="1721"/>
    <x v="0"/>
    <x v="0"/>
    <x v="14"/>
    <x v="10"/>
    <x v="2"/>
  </r>
  <r>
    <x v="40"/>
    <n v="475"/>
    <n v="931"/>
    <n v="456"/>
    <x v="15"/>
    <x v="1"/>
    <x v="14"/>
    <x v="10"/>
    <x v="2"/>
  </r>
  <r>
    <x v="41"/>
    <n v="238"/>
    <n v="476"/>
    <n v="238"/>
    <x v="29"/>
    <x v="1"/>
    <x v="14"/>
    <x v="10"/>
    <x v="2"/>
  </r>
  <r>
    <x v="42"/>
    <n v="610"/>
    <n v="1060"/>
    <n v="450"/>
    <x v="11"/>
    <x v="1"/>
    <x v="14"/>
    <x v="10"/>
    <x v="2"/>
  </r>
  <r>
    <x v="43"/>
    <n v="2132"/>
    <n v="2169"/>
    <n v="37"/>
    <x v="30"/>
    <x v="2"/>
    <x v="14"/>
    <x v="10"/>
    <x v="2"/>
  </r>
  <r>
    <x v="44"/>
    <n v="999"/>
    <n v="2000"/>
    <n v="1001"/>
    <x v="29"/>
    <x v="1"/>
    <x v="14"/>
    <x v="10"/>
    <x v="2"/>
  </r>
  <r>
    <x v="45"/>
    <n v="1190"/>
    <n v="1785"/>
    <n v="595"/>
    <x v="12"/>
    <x v="0"/>
    <x v="14"/>
    <x v="10"/>
    <x v="2"/>
  </r>
  <r>
    <x v="46"/>
    <n v="671"/>
    <n v="1316"/>
    <n v="645"/>
    <x v="15"/>
    <x v="1"/>
    <x v="14"/>
    <x v="10"/>
    <x v="2"/>
  </r>
  <r>
    <x v="47"/>
    <n v="1200"/>
    <n v="1950"/>
    <n v="750"/>
    <x v="0"/>
    <x v="0"/>
    <x v="14"/>
    <x v="10"/>
    <x v="2"/>
  </r>
  <r>
    <x v="48"/>
    <n v="199"/>
    <n v="504"/>
    <n v="305"/>
    <x v="31"/>
    <x v="1"/>
    <x v="14"/>
    <x v="10"/>
    <x v="2"/>
  </r>
  <r>
    <x v="49"/>
    <n v="299"/>
    <n v="600"/>
    <n v="301"/>
    <x v="29"/>
    <x v="1"/>
    <x v="14"/>
    <x v="10"/>
    <x v="2"/>
  </r>
  <r>
    <x v="50"/>
    <n v="1660"/>
    <n v="1699"/>
    <n v="39"/>
    <x v="30"/>
    <x v="2"/>
    <x v="14"/>
    <x v="10"/>
    <x v="2"/>
  </r>
  <r>
    <x v="51"/>
    <n v="299"/>
    <n v="384"/>
    <n v="85"/>
    <x v="32"/>
    <x v="0"/>
    <x v="14"/>
    <x v="10"/>
    <x v="2"/>
  </r>
  <r>
    <x v="52"/>
    <n v="1459"/>
    <n v="1499"/>
    <n v="40"/>
    <x v="33"/>
    <x v="2"/>
    <x v="14"/>
    <x v="10"/>
    <x v="2"/>
  </r>
  <r>
    <x v="53"/>
    <n v="799"/>
    <n v="1343"/>
    <n v="544"/>
    <x v="28"/>
    <x v="1"/>
    <x v="14"/>
    <x v="10"/>
    <x v="2"/>
  </r>
  <r>
    <x v="54"/>
    <n v="499"/>
    <n v="900"/>
    <n v="401"/>
    <x v="8"/>
    <x v="1"/>
    <x v="14"/>
    <x v="10"/>
    <x v="2"/>
  </r>
  <r>
    <x v="55"/>
    <n v="699"/>
    <n v="1343"/>
    <n v="644"/>
    <x v="25"/>
    <x v="1"/>
    <x v="14"/>
    <x v="10"/>
    <x v="2"/>
  </r>
  <r>
    <x v="56"/>
    <n v="799"/>
    <n v="1567"/>
    <n v="768"/>
    <x v="15"/>
    <x v="1"/>
    <x v="14"/>
    <x v="10"/>
    <x v="2"/>
  </r>
  <r>
    <x v="57"/>
    <n v="2799"/>
    <n v="3810"/>
    <n v="1011"/>
    <x v="26"/>
    <x v="0"/>
    <x v="14"/>
    <x v="10"/>
    <x v="2"/>
  </r>
  <r>
    <x v="54"/>
    <n v="399"/>
    <n v="896"/>
    <n v="497"/>
    <x v="7"/>
    <x v="1"/>
    <x v="14"/>
    <x v="10"/>
    <x v="2"/>
  </r>
  <r>
    <x v="58"/>
    <n v="2170"/>
    <n v="2500"/>
    <n v="330"/>
    <x v="34"/>
    <x v="2"/>
    <x v="9"/>
    <x v="13"/>
    <x v="3"/>
  </r>
  <r>
    <x v="59"/>
    <n v="458"/>
    <n v="986"/>
    <n v="528"/>
    <x v="20"/>
    <x v="1"/>
    <x v="20"/>
    <x v="14"/>
    <x v="1"/>
  </r>
  <r>
    <x v="60"/>
    <n v="2115"/>
    <n v="4700"/>
    <n v="2585"/>
    <x v="7"/>
    <x v="1"/>
    <x v="13"/>
    <x v="15"/>
    <x v="3"/>
  </r>
  <r>
    <x v="61"/>
    <n v="445"/>
    <n v="873"/>
    <n v="428"/>
    <x v="15"/>
    <x v="1"/>
    <x v="21"/>
    <x v="16"/>
    <x v="3"/>
  </r>
  <r>
    <x v="62"/>
    <n v="325"/>
    <n v="680"/>
    <n v="355"/>
    <x v="24"/>
    <x v="1"/>
    <x v="5"/>
    <x v="17"/>
    <x v="3"/>
  </r>
  <r>
    <x v="63"/>
    <n v="1220"/>
    <n v="1555"/>
    <n v="335"/>
    <x v="32"/>
    <x v="0"/>
    <x v="22"/>
    <x v="18"/>
    <x v="3"/>
  </r>
  <r>
    <x v="64"/>
    <n v="990"/>
    <n v="1814"/>
    <n v="824"/>
    <x v="8"/>
    <x v="1"/>
    <x v="9"/>
    <x v="19"/>
    <x v="3"/>
  </r>
  <r>
    <x v="65"/>
    <n v="1000"/>
    <n v="2000"/>
    <n v="1000"/>
    <x v="29"/>
    <x v="1"/>
    <x v="3"/>
    <x v="20"/>
    <x v="3"/>
  </r>
  <r>
    <x v="66"/>
    <n v="3750"/>
    <n v="6143"/>
    <n v="2393"/>
    <x v="35"/>
    <x v="0"/>
    <x v="4"/>
    <x v="14"/>
    <x v="1"/>
  </r>
  <r>
    <x v="67"/>
    <n v="382"/>
    <n v="700"/>
    <n v="318"/>
    <x v="8"/>
    <x v="1"/>
    <x v="23"/>
    <x v="21"/>
    <x v="3"/>
  </r>
  <r>
    <x v="68"/>
    <n v="2300"/>
    <n v="3240"/>
    <n v="940"/>
    <x v="36"/>
    <x v="0"/>
    <x v="4"/>
    <x v="14"/>
    <x v="1"/>
  </r>
  <r>
    <x v="69"/>
    <n v="345"/>
    <n v="602"/>
    <n v="257"/>
    <x v="37"/>
    <x v="1"/>
    <x v="9"/>
    <x v="20"/>
    <x v="3"/>
  </r>
  <r>
    <x v="70"/>
    <n v="509"/>
    <n v="899"/>
    <n v="390"/>
    <x v="37"/>
    <x v="1"/>
    <x v="4"/>
    <x v="14"/>
    <x v="1"/>
  </r>
  <r>
    <x v="71"/>
    <n v="968"/>
    <n v="1814"/>
    <n v="846"/>
    <x v="1"/>
    <x v="1"/>
    <x v="9"/>
    <x v="19"/>
    <x v="3"/>
  </r>
  <r>
    <x v="72"/>
    <n v="1570"/>
    <n v="2988"/>
    <n v="1418"/>
    <x v="1"/>
    <x v="1"/>
    <x v="3"/>
    <x v="15"/>
    <x v="3"/>
  </r>
  <r>
    <x v="73"/>
    <n v="790"/>
    <n v="1485"/>
    <n v="695"/>
    <x v="1"/>
    <x v="1"/>
    <x v="14"/>
    <x v="10"/>
    <x v="2"/>
  </r>
  <r>
    <x v="74"/>
    <n v="690"/>
    <n v="1200"/>
    <n v="510"/>
    <x v="37"/>
    <x v="1"/>
    <x v="14"/>
    <x v="10"/>
    <x v="2"/>
  </r>
  <r>
    <x v="75"/>
    <n v="1732"/>
    <n v="1799"/>
    <n v="67"/>
    <x v="38"/>
    <x v="2"/>
    <x v="14"/>
    <x v="10"/>
    <x v="2"/>
  </r>
  <r>
    <x v="76"/>
    <n v="230"/>
    <n v="450"/>
    <n v="220"/>
    <x v="15"/>
    <x v="1"/>
    <x v="14"/>
    <x v="10"/>
    <x v="2"/>
  </r>
  <r>
    <x v="77"/>
    <n v="1189"/>
    <n v="2199"/>
    <n v="1010"/>
    <x v="14"/>
    <x v="1"/>
    <x v="18"/>
    <x v="14"/>
    <x v="1"/>
  </r>
  <r>
    <x v="78"/>
    <n v="979"/>
    <n v="1920"/>
    <n v="941"/>
    <x v="15"/>
    <x v="1"/>
    <x v="18"/>
    <x v="8"/>
    <x v="0"/>
  </r>
  <r>
    <x v="79"/>
    <n v="1460"/>
    <n v="2290"/>
    <n v="830"/>
    <x v="39"/>
    <x v="0"/>
    <x v="14"/>
    <x v="10"/>
    <x v="2"/>
  </r>
  <r>
    <x v="80"/>
    <n v="1666"/>
    <n v="1699"/>
    <n v="33"/>
    <x v="30"/>
    <x v="2"/>
    <x v="14"/>
    <x v="10"/>
    <x v="2"/>
  </r>
  <r>
    <x v="81"/>
    <n v="330"/>
    <n v="647"/>
    <n v="317"/>
    <x v="15"/>
    <x v="1"/>
    <x v="18"/>
    <x v="5"/>
    <x v="1"/>
  </r>
  <r>
    <x v="48"/>
    <n v="176"/>
    <n v="345"/>
    <n v="169"/>
    <x v="15"/>
    <x v="1"/>
    <x v="14"/>
    <x v="10"/>
    <x v="2"/>
  </r>
  <r>
    <x v="82"/>
    <n v="1466"/>
    <n v="1699"/>
    <n v="233"/>
    <x v="40"/>
    <x v="2"/>
    <x v="14"/>
    <x v="10"/>
    <x v="2"/>
  </r>
  <r>
    <x v="83"/>
    <n v="274"/>
    <n v="537"/>
    <n v="263"/>
    <x v="15"/>
    <x v="1"/>
    <x v="14"/>
    <x v="10"/>
    <x v="2"/>
  </r>
  <r>
    <x v="84"/>
    <n v="799"/>
    <n v="900"/>
    <n v="101"/>
    <x v="41"/>
    <x v="2"/>
    <x v="14"/>
    <x v="10"/>
    <x v="2"/>
  </r>
  <r>
    <x v="56"/>
    <n v="657"/>
    <n v="1288"/>
    <n v="631"/>
    <x v="15"/>
    <x v="1"/>
    <x v="14"/>
    <x v="10"/>
    <x v="2"/>
  </r>
  <r>
    <x v="85"/>
    <n v="1468"/>
    <n v="1699"/>
    <n v="231"/>
    <x v="40"/>
    <x v="2"/>
    <x v="14"/>
    <x v="10"/>
    <x v="2"/>
  </r>
  <r>
    <x v="86"/>
    <n v="630"/>
    <n v="1100"/>
    <n v="470"/>
    <x v="37"/>
    <x v="1"/>
    <x v="14"/>
    <x v="10"/>
    <x v="2"/>
  </r>
  <r>
    <x v="87"/>
    <n v="850"/>
    <n v="1700"/>
    <n v="850"/>
    <x v="29"/>
    <x v="1"/>
    <x v="14"/>
    <x v="10"/>
    <x v="2"/>
  </r>
  <r>
    <x v="88"/>
    <n v="1300"/>
    <n v="2500"/>
    <n v="1200"/>
    <x v="25"/>
    <x v="1"/>
    <x v="14"/>
    <x v="10"/>
    <x v="2"/>
  </r>
  <r>
    <x v="89"/>
    <n v="105"/>
    <n v="200"/>
    <n v="95"/>
    <x v="25"/>
    <x v="1"/>
    <x v="14"/>
    <x v="10"/>
    <x v="2"/>
  </r>
  <r>
    <x v="90"/>
    <n v="899"/>
    <n v="1699"/>
    <n v="800"/>
    <x v="1"/>
    <x v="1"/>
    <x v="14"/>
    <x v="10"/>
    <x v="2"/>
  </r>
  <r>
    <x v="91"/>
    <n v="1200"/>
    <n v="2400"/>
    <n v="1200"/>
    <x v="29"/>
    <x v="1"/>
    <x v="14"/>
    <x v="10"/>
    <x v="2"/>
  </r>
  <r>
    <x v="92"/>
    <n v="1526"/>
    <n v="1660"/>
    <n v="134"/>
    <x v="42"/>
    <x v="2"/>
    <x v="14"/>
    <x v="10"/>
    <x v="2"/>
  </r>
  <r>
    <x v="93"/>
    <n v="1462"/>
    <n v="1499"/>
    <n v="37"/>
    <x v="30"/>
    <x v="2"/>
    <x v="14"/>
    <x v="10"/>
    <x v="2"/>
  </r>
  <r>
    <x v="94"/>
    <n v="248"/>
    <n v="486"/>
    <n v="238"/>
    <x v="15"/>
    <x v="1"/>
    <x v="14"/>
    <x v="10"/>
    <x v="2"/>
  </r>
  <r>
    <x v="95"/>
    <n v="3546"/>
    <n v="3699"/>
    <n v="153"/>
    <x v="38"/>
    <x v="2"/>
    <x v="14"/>
    <x v="10"/>
    <x v="2"/>
  </r>
  <r>
    <x v="96"/>
    <n v="525"/>
    <n v="1029"/>
    <n v="504"/>
    <x v="15"/>
    <x v="1"/>
    <x v="14"/>
    <x v="10"/>
    <x v="2"/>
  </r>
  <r>
    <x v="97"/>
    <n v="1080"/>
    <n v="1874"/>
    <n v="794"/>
    <x v="11"/>
    <x v="1"/>
    <x v="14"/>
    <x v="10"/>
    <x v="2"/>
  </r>
  <r>
    <x v="98"/>
    <n v="3640"/>
    <n v="4588"/>
    <n v="948"/>
    <x v="43"/>
    <x v="0"/>
    <x v="18"/>
    <x v="8"/>
    <x v="0"/>
  </r>
  <r>
    <x v="99"/>
    <n v="1420"/>
    <n v="2420"/>
    <n v="1000"/>
    <x v="28"/>
    <x v="1"/>
    <x v="14"/>
    <x v="10"/>
    <x v="2"/>
  </r>
  <r>
    <x v="100"/>
    <n v="1875"/>
    <n v="1899"/>
    <n v="24"/>
    <x v="44"/>
    <x v="2"/>
    <x v="14"/>
    <x v="10"/>
    <x v="2"/>
  </r>
  <r>
    <x v="101"/>
    <n v="198"/>
    <n v="260"/>
    <n v="62"/>
    <x v="6"/>
    <x v="0"/>
    <x v="14"/>
    <x v="10"/>
    <x v="2"/>
  </r>
  <r>
    <x v="102"/>
    <n v="1150"/>
    <n v="1737"/>
    <n v="587"/>
    <x v="10"/>
    <x v="0"/>
    <x v="14"/>
    <x v="10"/>
    <x v="2"/>
  </r>
  <r>
    <x v="103"/>
    <n v="1190"/>
    <n v="1810"/>
    <n v="620"/>
    <x v="10"/>
    <x v="0"/>
    <x v="14"/>
    <x v="10"/>
    <x v="2"/>
  </r>
  <r>
    <x v="104"/>
    <n v="1658"/>
    <n v="1699"/>
    <n v="41"/>
    <x v="30"/>
    <x v="2"/>
    <x v="14"/>
    <x v="10"/>
    <x v="2"/>
  </r>
  <r>
    <x v="105"/>
    <n v="1768"/>
    <n v="1799"/>
    <n v="31"/>
    <x v="30"/>
    <x v="2"/>
    <x v="14"/>
    <x v="10"/>
    <x v="2"/>
  </r>
  <r>
    <x v="106"/>
    <n v="199"/>
    <n v="553"/>
    <n v="354"/>
    <x v="45"/>
    <x v="1"/>
    <x v="14"/>
    <x v="10"/>
    <x v="2"/>
  </r>
  <r>
    <x v="107"/>
    <n v="450"/>
    <n v="900"/>
    <n v="450"/>
    <x v="29"/>
    <x v="1"/>
    <x v="18"/>
    <x v="22"/>
    <x v="3"/>
  </r>
  <r>
    <x v="108"/>
    <n v="169"/>
    <n v="320"/>
    <n v="151"/>
    <x v="1"/>
    <x v="1"/>
    <x v="14"/>
    <x v="10"/>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
  <r>
    <x v="0"/>
    <n v="4.5"/>
  </r>
  <r>
    <x v="1"/>
    <n v="4.0999999999999996"/>
  </r>
  <r>
    <x v="2"/>
    <n v="4.5999999999999996"/>
  </r>
  <r>
    <x v="3"/>
    <n v="4.7"/>
  </r>
  <r>
    <x v="4"/>
    <n v="4.8"/>
  </r>
  <r>
    <x v="5"/>
    <n v="4"/>
  </r>
  <r>
    <x v="6"/>
    <n v="4.5999999999999996"/>
  </r>
  <r>
    <x v="7"/>
    <n v="4"/>
  </r>
  <r>
    <x v="8"/>
    <n v="4.8"/>
  </r>
  <r>
    <x v="9"/>
    <n v="3.8"/>
  </r>
  <r>
    <x v="10"/>
    <n v="4.0999999999999996"/>
  </r>
  <r>
    <x v="11"/>
    <n v="4.7"/>
  </r>
  <r>
    <x v="12"/>
    <n v="4.8"/>
  </r>
  <r>
    <x v="13"/>
    <n v="4.5"/>
  </r>
  <r>
    <x v="14"/>
    <n v="4.2"/>
  </r>
  <r>
    <x v="15"/>
    <n v="5"/>
  </r>
  <r>
    <x v="16"/>
    <n v="5"/>
  </r>
  <r>
    <x v="17"/>
    <n v="5"/>
  </r>
  <r>
    <x v="18"/>
    <n v="4.5999999999999996"/>
  </r>
  <r>
    <x v="19"/>
    <n v="4.5999999999999996"/>
  </r>
  <r>
    <x v="20"/>
    <n v="3.3"/>
  </r>
  <r>
    <x v="21"/>
    <n v="4"/>
  </r>
  <r>
    <x v="22"/>
    <n v="4.4000000000000004"/>
  </r>
  <r>
    <x v="23"/>
    <n v="4.3"/>
  </r>
  <r>
    <x v="24"/>
    <n v="4.5999999999999996"/>
  </r>
  <r>
    <x v="25"/>
    <n v="3.8"/>
  </r>
  <r>
    <x v="26"/>
    <n v="3.8"/>
  </r>
  <r>
    <x v="27"/>
    <n v="4.0999999999999996"/>
  </r>
  <r>
    <x v="28"/>
    <n v="4.3"/>
  </r>
  <r>
    <x v="29"/>
    <n v="4.7"/>
  </r>
  <r>
    <x v="30"/>
    <n v="4.3"/>
  </r>
  <r>
    <x v="31"/>
    <n v="4.7"/>
  </r>
  <r>
    <x v="32"/>
    <n v="4.5"/>
  </r>
  <r>
    <x v="33"/>
    <n v="5"/>
  </r>
  <r>
    <x v="34"/>
    <n v="5"/>
  </r>
  <r>
    <x v="35"/>
    <n v="4.3"/>
  </r>
  <r>
    <x v="36"/>
    <n v="4.5"/>
  </r>
  <r>
    <x v="37"/>
    <n v="2.5"/>
  </r>
  <r>
    <x v="38"/>
    <n v="3"/>
  </r>
  <r>
    <x v="39"/>
    <n v="2.1"/>
  </r>
  <r>
    <x v="40"/>
    <n v="2.8"/>
  </r>
  <r>
    <x v="41"/>
    <n v="2.7"/>
  </r>
  <r>
    <x v="42"/>
    <n v="2.9"/>
  </r>
  <r>
    <x v="43"/>
    <n v="2.2000000000000002"/>
  </r>
  <r>
    <x v="44"/>
    <n v="2.2999999999999998"/>
  </r>
  <r>
    <x v="45"/>
    <n v="3"/>
  </r>
  <r>
    <x v="46"/>
    <n v="2.6"/>
  </r>
  <r>
    <x v="47"/>
    <n v="3"/>
  </r>
  <r>
    <x v="48"/>
    <n v="2.2999999999999998"/>
  </r>
  <r>
    <x v="49"/>
    <n v="3"/>
  </r>
  <r>
    <x v="50"/>
    <n v="2.2000000000000002"/>
  </r>
  <r>
    <x v="51"/>
    <n v="2.1"/>
  </r>
  <r>
    <x v="52"/>
    <n v="3"/>
  </r>
  <r>
    <x v="53"/>
    <n v="5"/>
  </r>
  <r>
    <x v="54"/>
    <n v="4"/>
  </r>
  <r>
    <x v="55"/>
    <n v="5"/>
  </r>
  <r>
    <x v="56"/>
    <n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s v="115  Piece Set Of Multifunctional Precision Screwdrivers"/>
    <x v="0"/>
    <x v="0"/>
    <x v="0"/>
  </r>
  <r>
    <s v="Metal Decorative Hooks Key Hangers Entryway Wall Hooks Towel Hooks - Home"/>
    <x v="1"/>
    <x v="1"/>
    <x v="1"/>
  </r>
  <r>
    <s v="Portable Mini Cordless Car Vacuum Cleaner - Blue"/>
    <x v="2"/>
    <x v="2"/>
    <x v="0"/>
  </r>
  <r>
    <s v="Weighing Scale Digital Bathroom Body Fat Scale USB-Black"/>
    <x v="3"/>
    <x v="3"/>
    <x v="0"/>
  </r>
  <r>
    <s v="Portable Home Small Air Humidifier 3-Speed Fan - Green"/>
    <x v="4"/>
    <x v="4"/>
    <x v="0"/>
  </r>
  <r>
    <s v="220V 60W Electric Soldering Iron Kits With Tools, Tips, And Multimeter"/>
    <x v="5"/>
    <x v="5"/>
    <x v="2"/>
  </r>
  <r>
    <s v="137 Pieces Cake Decorating Tool Set Baking Supplies"/>
    <x v="6"/>
    <x v="2"/>
    <x v="0"/>
  </r>
  <r>
    <s v="Desk Foldable Fan Adjustable Fan Strong Wind 3 Gear Usb"/>
    <x v="0"/>
    <x v="5"/>
    <x v="0"/>
  </r>
  <r>
    <s v="LASA FOLDING TABLE SERVING STAND"/>
    <x v="4"/>
    <x v="4"/>
    <x v="1"/>
  </r>
  <r>
    <s v="13 In 1 Home Repair Tools Box Kit Set"/>
    <x v="4"/>
    <x v="6"/>
    <x v="1"/>
  </r>
  <r>
    <s v="Genebre 115 In 1 Screwdriver Repairing Tool Set For IPhone Cellphone Hand Tool"/>
    <x v="7"/>
    <x v="1"/>
    <x v="0"/>
  </r>
  <r>
    <s v="100 Pcs Crochet Hook Tool Set Knitting Hook Set With Box"/>
    <x v="8"/>
    <x v="3"/>
    <x v="0"/>
  </r>
  <r>
    <s v="40cm Gold DIY Acrylic Wall Sticker Clock"/>
    <x v="7"/>
    <x v="4"/>
    <x v="1"/>
  </r>
  <r>
    <s v="LASA Digital Thermometer And Hydrometer"/>
    <x v="9"/>
    <x v="0"/>
    <x v="1"/>
  </r>
  <r>
    <s v="Multifunction Laser Level With Adjustment Tripod"/>
    <x v="10"/>
    <x v="7"/>
    <x v="0"/>
  </r>
  <r>
    <s v="Anti-Skid Absorbent Insulation Coaster  For Home Office"/>
    <x v="0"/>
    <x v="8"/>
    <x v="1"/>
  </r>
  <r>
    <s v="Peacock  Throw Pillow Cushion Case For Home Car"/>
    <x v="0"/>
    <x v="8"/>
    <x v="1"/>
  </r>
  <r>
    <s v="LASA Aluminum Folding Truck Hand Cart - 68kg Max"/>
    <x v="11"/>
    <x v="8"/>
    <x v="1"/>
  </r>
  <r>
    <s v="LED Wall Digital Alarm Clock Study Home 12 / 24H Clock Calendar"/>
    <x v="4"/>
    <x v="2"/>
    <x v="2"/>
  </r>
  <r>
    <s v="3D Waterproof EVA Plastic Shower Curtain 1.8*2Mtrs"/>
    <x v="12"/>
    <x v="2"/>
    <x v="1"/>
  </r>
  <r>
    <s v="3PCS Single Head Knitting Crochet Sweater Needle Set"/>
    <x v="13"/>
    <x v="9"/>
    <x v="1"/>
  </r>
  <r>
    <s v="4pcs Bathroom/Kitchen Towel Rack,Roll Paper Holder,Towel Bars,Hook"/>
    <x v="14"/>
    <x v="10"/>
    <x v="1"/>
  </r>
  <r>
    <s v="LED Romantic Spaceship Starry Sky Projector,Children's Bedroom Night Light-Blue"/>
    <x v="9"/>
    <x v="5"/>
    <x v="0"/>
  </r>
  <r>
    <s v="Foldable Overbed Table/Desk"/>
    <x v="1"/>
    <x v="11"/>
    <x v="0"/>
  </r>
  <r>
    <s v="LASA 3 Tier Bamboo Shoe Bench Storage Shelf"/>
    <x v="3"/>
    <x v="12"/>
    <x v="1"/>
  </r>
  <r>
    <s v="Electronic Digital Display Vernier Caliper"/>
    <x v="15"/>
    <x v="2"/>
    <x v="0"/>
  </r>
  <r>
    <s v="Portable Wardrobe Nonwoven With 3 Hanging Rods And 6 Storage Shelves"/>
    <x v="7"/>
    <x v="6"/>
    <x v="2"/>
  </r>
  <r>
    <s v="12 Litre Black Insulated Lunch Box"/>
    <x v="13"/>
    <x v="6"/>
    <x v="0"/>
  </r>
  <r>
    <s v="52 Pieces Cake Decorating Tool Set Gift Kit Baking Supplies"/>
    <x v="16"/>
    <x v="1"/>
    <x v="0"/>
  </r>
  <r>
    <s v="MultiFunctional Storage Rack Multi-layer Bookshelf"/>
    <x v="14"/>
    <x v="10"/>
    <x v="1"/>
  </r>
  <r>
    <s v="Exfoliate And Exfoliate Face Towel - Black"/>
    <x v="10"/>
    <x v="12"/>
    <x v="1"/>
  </r>
  <r>
    <s v="12 Litre Insulated Lunch Box Grey"/>
    <x v="7"/>
    <x v="3"/>
    <x v="0"/>
  </r>
  <r>
    <s v="LED Eye Protection  Desk Lamp , Study, Reading, USB Fan - Double Pen Holder"/>
    <x v="10"/>
    <x v="12"/>
    <x v="1"/>
  </r>
  <r>
    <s v="53Pcs/Set Yarn Knitting Crochet Hooks With Bag - Fortune Cat"/>
    <x v="16"/>
    <x v="3"/>
    <x v="0"/>
  </r>
  <r>
    <s v="53 Pieces/Set Yarn Knitting Crochet Hooks With Bag - Pansies"/>
    <x v="17"/>
    <x v="0"/>
    <x v="0"/>
  </r>
  <r>
    <s v="DIY File Folder, Office Drawer File Holder, Pen Holder, Desktop Storage Rack"/>
    <x v="18"/>
    <x v="8"/>
    <x v="1"/>
  </r>
  <r>
    <s v="Classic Black Cat Cotton Hemp Pillow Case For Home Car"/>
    <x v="0"/>
    <x v="8"/>
    <x v="1"/>
  </r>
  <r>
    <s v="Punch-free Great Load Bearing Bathroom Storage Rack Wall Shelf-White"/>
    <x v="19"/>
    <x v="12"/>
    <x v="1"/>
  </r>
  <r>
    <s v="1/2/3 Seater Elastic Sofa Cover,Living Room/Home Decor Chair Cover-Grey"/>
    <x v="0"/>
    <x v="0"/>
    <x v="0"/>
  </r>
  <r>
    <s v="LASA Stainless Steel Double Wall Mount Soap Dispenser - 500ml"/>
    <x v="14"/>
    <x v="10"/>
    <x v="0"/>
  </r>
  <r>
    <s v="4M Float Switch Water Level Controller -Water Tank"/>
    <x v="14"/>
    <x v="10"/>
    <x v="1"/>
  </r>
  <r>
    <s v="Modern Sofa Throw Pillow Cover-45x45cm-Blue&amp;Red"/>
    <x v="14"/>
    <x v="10"/>
    <x v="1"/>
  </r>
  <r>
    <s v="Balloon Insert, Birthday Party Balloon Set, PU Leather"/>
    <x v="14"/>
    <x v="10"/>
    <x v="1"/>
  </r>
  <r>
    <s v="Shower Cap Wide Elastic Band Cover Reusable Bashroom Cap"/>
    <x v="14"/>
    <x v="10"/>
    <x v="2"/>
  </r>
  <r>
    <s v="Christmas Elk Fence Yard Lawn Decorations Cute For Holidays"/>
    <x v="14"/>
    <x v="10"/>
    <x v="1"/>
  </r>
  <r>
    <s v="60W Hot Melt Glue Sprayer - Efficient And Stable Glue Dispensing"/>
    <x v="14"/>
    <x v="10"/>
    <x v="0"/>
  </r>
  <r>
    <s v="Car Phone Charging Stand"/>
    <x v="14"/>
    <x v="10"/>
    <x v="1"/>
  </r>
  <r>
    <s v="2pcs Solar Street Light Flood Light Outdoor"/>
    <x v="14"/>
    <x v="10"/>
    <x v="0"/>
  </r>
  <r>
    <s v="Creative Owl Shape Keychain Black"/>
    <x v="14"/>
    <x v="10"/>
    <x v="1"/>
  </r>
  <r>
    <s v="Brush &amp; Paintbrush Cleaning Tool Pink"/>
    <x v="14"/>
    <x v="10"/>
    <x v="1"/>
  </r>
  <r>
    <s v="Pen Grips For Kids Pen Grip Posture Correction Tool For Kids"/>
    <x v="14"/>
    <x v="10"/>
    <x v="2"/>
  </r>
  <r>
    <s v="Pilates Cloth Bag Waterproof Durable High Capacity Purple"/>
    <x v="14"/>
    <x v="10"/>
    <x v="0"/>
  </r>
  <r>
    <s v="Multi-purpose Rice Drainage Basket And Fruit And Vegetable Drainage Sieve"/>
    <x v="14"/>
    <x v="10"/>
    <x v="2"/>
  </r>
  <r>
    <s v="Cute Christmas Fence Garden Decorations For Holiday Home"/>
    <x v="14"/>
    <x v="10"/>
    <x v="1"/>
  </r>
  <r>
    <s v="Simple Metal Dog Art Sculpture Decoration For Home Office"/>
    <x v="14"/>
    <x v="10"/>
    <x v="1"/>
  </r>
  <r>
    <s v="Christmas Fence Garden Decorations Outdoor For Holiday Home"/>
    <x v="14"/>
    <x v="10"/>
    <x v="1"/>
  </r>
  <r>
    <s v="Angle Measuring Tool Full Metal Multi Angle Measuring Tool"/>
    <x v="14"/>
    <x v="10"/>
    <x v="1"/>
  </r>
  <r>
    <s v="12V 19500rpm Handheld Electric Angle Grinder Tool - UK - Yellow/Black"/>
    <x v="14"/>
    <x v="10"/>
    <x v="0"/>
  </r>
  <r>
    <s v="Simple Metal Dog Art Sculpture Decoration For Home Office"/>
    <x v="14"/>
    <x v="10"/>
    <x v="1"/>
  </r>
  <r>
    <s v="5 Pieces/set Of Stainless Steel Induction Cooker Pots"/>
    <x v="9"/>
    <x v="13"/>
    <x v="2"/>
  </r>
  <r>
    <s v="Mythco 120COB Solar Wall Ligt With Motion Sensor And Remote Control 3 Modes"/>
    <x v="20"/>
    <x v="14"/>
    <x v="1"/>
  </r>
  <r>
    <s v="5-PCS Stainless Steel Cooking Pot Set With Steamed Slices"/>
    <x v="13"/>
    <x v="15"/>
    <x v="1"/>
  </r>
  <r>
    <s v="120W Cordless Vacuum Cleaners Handheld Electric Vacuum Cleaner"/>
    <x v="21"/>
    <x v="16"/>
    <x v="1"/>
  </r>
  <r>
    <s v="Intelligent  LED Body Sensor Wireless Lighting Night Light USB"/>
    <x v="5"/>
    <x v="17"/>
    <x v="1"/>
  </r>
  <r>
    <s v="VIC Wireless Vacuum Cleaner Dual Use For Home And Car 120W High Power Powerful"/>
    <x v="22"/>
    <x v="18"/>
    <x v="0"/>
  </r>
  <r>
    <s v="Artificial Potted Flowers Room Decorative Flowers (2 Pieces)"/>
    <x v="9"/>
    <x v="19"/>
    <x v="1"/>
  </r>
  <r>
    <s v="380ML USB Rechargeable Portable Small Blenders And Juicers"/>
    <x v="3"/>
    <x v="20"/>
    <x v="1"/>
  </r>
  <r>
    <s v="32PCS Portable Cordless Drill Set With Cyclic Battery Drive -26 Variable Speed"/>
    <x v="4"/>
    <x v="14"/>
    <x v="0"/>
  </r>
  <r>
    <s v="Agapeon Toothbrush Holder And Toothpaste Dispenser"/>
    <x v="23"/>
    <x v="21"/>
    <x v="1"/>
  </r>
  <r>
    <s v="Large Lazy Inflatable Sofa Chairs PVC Lounger Seat Bag"/>
    <x v="4"/>
    <x v="14"/>
    <x v="0"/>
  </r>
  <r>
    <s v="Watercolour Gold Foil Textured Print Pillow Cover"/>
    <x v="9"/>
    <x v="20"/>
    <x v="1"/>
  </r>
  <r>
    <s v="Wrought Iron Bathroom Shelf Wall Mounted Free Punch Toilet Rack"/>
    <x v="4"/>
    <x v="14"/>
    <x v="1"/>
  </r>
  <r>
    <s v="7-piece Set Of Storage Bags, Travel Storage Bags, Shoe Bags"/>
    <x v="9"/>
    <x v="19"/>
    <x v="1"/>
  </r>
  <r>
    <s v="Electric LED UV Mosquito Killer Lamp, Outdoor/Indoor Fly Killer Trap Light -USB"/>
    <x v="3"/>
    <x v="15"/>
    <x v="1"/>
  </r>
  <r>
    <s v="2PCS/LOT Solar LED Outdoor Intelligent Light Controlled Wall Lamp"/>
    <x v="14"/>
    <x v="10"/>
    <x v="1"/>
  </r>
  <r>
    <s v="3PCS Rotary Scraper Thermomix For Kitchen"/>
    <x v="14"/>
    <x v="10"/>
    <x v="1"/>
  </r>
  <r>
    <s v="Cushion Silicone Butt Cushion Summer Ice Cushion Honeycomb Gel Cushion"/>
    <x v="14"/>
    <x v="10"/>
    <x v="2"/>
  </r>
  <r>
    <s v="7PCS Silicone Thumb Knife Finger Protector Vegetable Harvesting Knife"/>
    <x v="14"/>
    <x v="10"/>
    <x v="1"/>
  </r>
  <r>
    <s v="Memory Foam Neck Pillow Cover, With Pillow Core - 50*30cm"/>
    <x v="18"/>
    <x v="14"/>
    <x v="1"/>
  </r>
  <r>
    <s v="Bedroom Simple Floor Hanging Clothes Rack Single Pole Hat Rack - White"/>
    <x v="18"/>
    <x v="8"/>
    <x v="1"/>
  </r>
  <r>
    <s v="5m Waterproof Spherical LED String Lights Outdoor Ball Chain Lights Party Lighting Decoration Adjustable"/>
    <x v="14"/>
    <x v="10"/>
    <x v="0"/>
  </r>
  <r>
    <s v="2 Pairs Cowhide Split Leather Work Gloves.32â„‰ Or Above Welding Gloves"/>
    <x v="14"/>
    <x v="10"/>
    <x v="2"/>
  </r>
  <r>
    <s v="Household Pineapple Peeler Peeler"/>
    <x v="18"/>
    <x v="5"/>
    <x v="1"/>
  </r>
  <r>
    <s v="Creative Owl Shape Keychain Black"/>
    <x v="14"/>
    <x v="10"/>
    <x v="1"/>
  </r>
  <r>
    <s v="Office Chair Lumbar Back Support Spine Posture Correction Pillow Car Cushion"/>
    <x v="14"/>
    <x v="10"/>
    <x v="2"/>
  </r>
  <r>
    <s v="Cartoon Car Decoration Cute Individuality For Car Home Desk"/>
    <x v="14"/>
    <x v="10"/>
    <x v="1"/>
  </r>
  <r>
    <s v="Outdoor Portable Water Bottle With Medicine Box - 600ML - Black"/>
    <x v="14"/>
    <x v="10"/>
    <x v="2"/>
  </r>
  <r>
    <s v="Angle Measuring Tool Full Metal Multi Angle Measuring Tool"/>
    <x v="14"/>
    <x v="10"/>
    <x v="1"/>
  </r>
  <r>
    <s v="Wall-Mounted Toothbrush Toothpaste Holder With Multiple Slots"/>
    <x v="14"/>
    <x v="10"/>
    <x v="2"/>
  </r>
  <r>
    <s v="Multifunctional Hanging Storage Box Storage Bag (4 Layers)"/>
    <x v="14"/>
    <x v="10"/>
    <x v="1"/>
  </r>
  <r>
    <s v="Wall Clock With Hidden Safe Box"/>
    <x v="14"/>
    <x v="10"/>
    <x v="1"/>
  </r>
  <r>
    <s v="Portable Wine Table With Folding Round Table"/>
    <x v="14"/>
    <x v="10"/>
    <x v="1"/>
  </r>
  <r>
    <s v="Sewing Machine Needle Threader Stitch Insertion Tool Automatic Quick Sewing"/>
    <x v="14"/>
    <x v="10"/>
    <x v="1"/>
  </r>
  <r>
    <s v="6 Layers Steel Pipe Assembling Dustproof Storage Shoe Cabinet"/>
    <x v="14"/>
    <x v="10"/>
    <x v="1"/>
  </r>
  <r>
    <s v="2PCS Ice Silk Square Cushion Cover Pillowcases - 65x65cm"/>
    <x v="14"/>
    <x v="10"/>
    <x v="1"/>
  </r>
  <r>
    <s v="Wall Mount Automatic Toothpaste Dispenser Toothbrush Holder Toothpaste Squeezer"/>
    <x v="14"/>
    <x v="10"/>
    <x v="2"/>
  </r>
  <r>
    <s v="Portable Soap Dispenser Kitchen Detergent Press Box Kitchen Tools"/>
    <x v="14"/>
    <x v="10"/>
    <x v="2"/>
  </r>
  <r>
    <s v="4 Piece Coloured Stainless Steel Kitchenware Set"/>
    <x v="14"/>
    <x v="10"/>
    <x v="1"/>
  </r>
  <r>
    <s v="Metal Wall Clock Silver Dial Crystal Jewelry Round Home Decoration Wall Clock"/>
    <x v="14"/>
    <x v="10"/>
    <x v="2"/>
  </r>
  <r>
    <s v="Baby Early Education Shape And Color Cognitive Training Toys"/>
    <x v="14"/>
    <x v="10"/>
    <x v="1"/>
  </r>
  <r>
    <s v="8in1 Screwdriver With LED Light"/>
    <x v="14"/>
    <x v="10"/>
    <x v="1"/>
  </r>
  <r>
    <s v="Konka Healty Electric Kettle, 24-hour Heat Preservation,1.5L,800W, White"/>
    <x v="18"/>
    <x v="8"/>
    <x v="0"/>
  </r>
  <r>
    <s v="9pcs Gas Mask, For Painting, Dust, Formaldehyde Grinding, Polishing"/>
    <x v="14"/>
    <x v="10"/>
    <x v="1"/>
  </r>
  <r>
    <s v="24 Grid Wall-mounted Sundries Organiser Fabric Closet Bag Storage Rack"/>
    <x v="14"/>
    <x v="10"/>
    <x v="2"/>
  </r>
  <r>
    <s v="1PC Refrigerator Food Seal Pocket Fridge Bags"/>
    <x v="14"/>
    <x v="10"/>
    <x v="0"/>
  </r>
  <r>
    <s v="LED Solar Street Light-fake Camera"/>
    <x v="14"/>
    <x v="10"/>
    <x v="0"/>
  </r>
  <r>
    <s v="Cartoon Embroidered Mini Towel Bear Cotton Wash Cloth Hand 4pcs"/>
    <x v="14"/>
    <x v="10"/>
    <x v="0"/>
  </r>
  <r>
    <s v="Shower Nozzle Cleaning Unclogging Needle Mini Crevice Small Hole Cleaning Brush"/>
    <x v="14"/>
    <x v="10"/>
    <x v="2"/>
  </r>
  <r>
    <s v="Thickening Multipurpose Non Stick Easy To Clean Heat Resistant Spoon Pad"/>
    <x v="14"/>
    <x v="10"/>
    <x v="2"/>
  </r>
  <r>
    <s v="6 In 1 Bottle Can Opener Multifunctional Easy Opener"/>
    <x v="14"/>
    <x v="10"/>
    <x v="1"/>
  </r>
  <r>
    <s v="Wall-mounted Sticker Punch-free Plug Fixer"/>
    <x v="18"/>
    <x v="22"/>
    <x v="1"/>
  </r>
  <r>
    <s v="Black Simple Water Cup Wine Coaster Anti Slip Absorbent"/>
    <x v="14"/>
    <x v="1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04FBE7-7D9B-45D4-837A-1BDB24D454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5" firstHeaderRow="1" firstDataRow="1" firstDataCol="1"/>
  <pivotFields count="2">
    <pivotField dataField="1"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axis="axisRow" showAll="0">
      <items count="4">
        <item x="1"/>
        <item x="2"/>
        <item x="0"/>
        <item t="default"/>
      </items>
    </pivotField>
  </pivotFields>
  <rowFields count="1">
    <field x="1"/>
  </rowFields>
  <rowItems count="4">
    <i>
      <x/>
    </i>
    <i>
      <x v="1"/>
    </i>
    <i>
      <x v="2"/>
    </i>
    <i t="grand">
      <x/>
    </i>
  </rowItems>
  <colItems count="1">
    <i/>
  </colItems>
  <dataFields count="1">
    <dataField name="Average of Discount" fld="0" subtotal="average" baseField="1" baseItem="0" numFmtId="9"/>
  </dataFields>
  <chartFormats count="2">
    <chartFormat chart="0"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AF1163-DE3D-4515-8776-92164496DBC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5" firstHeaderRow="1" firstDataRow="1" firstDataCol="1"/>
  <pivotFields count="2">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axis="axisRow" showAll="0">
      <items count="5">
        <item x="1"/>
        <item x="0"/>
        <item x="3"/>
        <item h="1" x="2"/>
        <item t="default"/>
      </items>
    </pivotField>
  </pivotFields>
  <rowFields count="1">
    <field x="1"/>
  </rowFields>
  <rowItems count="4">
    <i>
      <x/>
    </i>
    <i>
      <x v="1"/>
    </i>
    <i>
      <x v="2"/>
    </i>
    <i t="grand">
      <x/>
    </i>
  </rowItems>
  <colItems count="1">
    <i/>
  </colItems>
  <dataFields count="1">
    <dataField name="Average of Rating (Out of 5)" fld="0" subtotal="average" baseField="1"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EF9C2E-5407-4A27-8440-21969ECCFCD7}"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48" firstHeaderRow="1"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1" showAll="0"/>
    <pivotField axis="axisRow"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showAll="0">
      <items count="4">
        <item x="1"/>
        <item x="2"/>
        <item x="0"/>
        <item t="default"/>
      </items>
    </pivotField>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pivotField showAll="0">
      <items count="5">
        <item x="1"/>
        <item x="0"/>
        <item x="3"/>
        <item x="2"/>
        <item t="default"/>
      </items>
    </pivotField>
  </pivotFields>
  <rowFields count="1">
    <field x="4"/>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Count of Review" fld="6" subtotal="count" baseField="4" baseItem="23"/>
  </dataFields>
  <chartFormats count="2">
    <chartFormat chart="0"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839F59-851B-4778-B8D0-1645CD797130}"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24" firstHeaderRow="1"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1" showAll="0"/>
    <pivotField numFmtId="9" showAll="0"/>
    <pivotField showAll="0">
      <items count="4">
        <item x="1"/>
        <item x="2"/>
        <item x="0"/>
        <item t="default"/>
      </items>
    </pivotField>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axis="axisRow" showAll="0">
      <items count="24">
        <item x="22"/>
        <item x="15"/>
        <item x="19"/>
        <item x="20"/>
        <item x="13"/>
        <item x="21"/>
        <item x="17"/>
        <item x="16"/>
        <item x="18"/>
        <item x="14"/>
        <item x="9"/>
        <item x="6"/>
        <item x="5"/>
        <item x="1"/>
        <item x="7"/>
        <item x="12"/>
        <item x="11"/>
        <item x="0"/>
        <item x="2"/>
        <item x="3"/>
        <item x="4"/>
        <item x="8"/>
        <item h="1" x="10"/>
        <item t="default"/>
      </items>
    </pivotField>
    <pivotField showAll="0">
      <items count="5">
        <item x="1"/>
        <item x="0"/>
        <item x="3"/>
        <item x="2"/>
        <item t="default"/>
      </items>
    </pivotField>
  </pivotFields>
  <rowFields count="1">
    <field x="7"/>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Review" fld="6" subtotal="count" baseField="0" baseItem="0"/>
  </dataFields>
  <chartFormats count="2">
    <chartFormat chart="0"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404AC5-2875-4526-AC60-55328BEB441C}"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C113" firstHeaderRow="1" firstDataRow="1" firstDataCol="1"/>
  <pivotFields count="9">
    <pivotField axis="axisRow"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1" showAll="0"/>
    <pivotField numFmtId="9" showAll="0"/>
    <pivotField showAll="0">
      <items count="4">
        <item x="1"/>
        <item x="2"/>
        <item x="0"/>
        <item t="default"/>
      </items>
    </pivotField>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items count="5">
        <item x="1"/>
        <item x="0"/>
        <item x="3"/>
        <item x="2"/>
        <item t="default"/>
      </items>
    </pivotField>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Items count="1">
    <i/>
  </colItems>
  <dataFields count="1">
    <dataField name="Sum of Rating (Out of 5)"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553F0F-A80B-4859-8BD6-69805AC81E5C}"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62:C68" firstHeaderRow="1" firstDataRow="1" firstDataCol="1"/>
  <pivotFields count="2">
    <pivotField axis="axisRow" showAll="0" measureFilter="1">
      <items count="58">
        <item x="36"/>
        <item x="11"/>
        <item x="0"/>
        <item x="26"/>
        <item x="29"/>
        <item x="40"/>
        <item x="9"/>
        <item x="6"/>
        <item x="5"/>
        <item x="45"/>
        <item x="44"/>
        <item x="19"/>
        <item x="20"/>
        <item x="12"/>
        <item x="37"/>
        <item x="27"/>
        <item x="32"/>
        <item x="31"/>
        <item x="39"/>
        <item x="50"/>
        <item x="46"/>
        <item x="15"/>
        <item x="43"/>
        <item x="53"/>
        <item x="34"/>
        <item x="7"/>
        <item x="33"/>
        <item x="51"/>
        <item x="24"/>
        <item x="28"/>
        <item x="22"/>
        <item x="10"/>
        <item x="54"/>
        <item x="41"/>
        <item x="55"/>
        <item x="47"/>
        <item x="23"/>
        <item x="17"/>
        <item x="13"/>
        <item x="8"/>
        <item x="30"/>
        <item x="21"/>
        <item x="18"/>
        <item x="52"/>
        <item x="1"/>
        <item x="14"/>
        <item x="38"/>
        <item x="16"/>
        <item x="4"/>
        <item x="2"/>
        <item x="25"/>
        <item x="35"/>
        <item x="42"/>
        <item x="56"/>
        <item x="48"/>
        <item x="3"/>
        <item x="49"/>
        <item t="default"/>
      </items>
    </pivotField>
    <pivotField dataField="1" numFmtId="164" showAll="0"/>
  </pivotFields>
  <rowFields count="1">
    <field x="0"/>
  </rowFields>
  <rowItems count="6">
    <i>
      <x v="18"/>
    </i>
    <i>
      <x v="19"/>
    </i>
    <i>
      <x v="22"/>
    </i>
    <i>
      <x v="27"/>
    </i>
    <i>
      <x v="53"/>
    </i>
    <i t="grand">
      <x/>
    </i>
  </rowItems>
  <colItems count="1">
    <i/>
  </colItems>
  <dataFields count="1">
    <dataField name="Sum of Rating (Out of 5)" fld="1"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F92C64-19D6-48E6-B241-A03F876D3435}"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C113" firstHeaderRow="1" firstDataRow="1" firstDataCol="1"/>
  <pivotFields count="9">
    <pivotField axis="axisRow"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1" showAll="0"/>
    <pivotField dataField="1" numFmtId="9" showAll="0"/>
    <pivotField showAll="0">
      <items count="4">
        <item x="1"/>
        <item x="2"/>
        <item x="0"/>
        <item t="default"/>
      </items>
    </pivotField>
    <pivotField showAll="0"/>
    <pivotField showAll="0"/>
    <pivotField showAll="0">
      <items count="5">
        <item x="1"/>
        <item x="0"/>
        <item x="3"/>
        <item x="2"/>
        <item t="default"/>
      </items>
    </pivotField>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Items count="1">
    <i/>
  </colItems>
  <dataFields count="1">
    <dataField name="Average of Discount" fld="4" subtotal="average" baseField="0" baseItem="0" numFmtId="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B4C70F-2643-4481-9F56-9E090EE24800}"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C113" firstHeaderRow="1" firstDataRow="1" firstDataCol="1"/>
  <pivotFields count="9">
    <pivotField axis="axisRow"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1" showAll="0"/>
    <pivotField numFmtId="9" showAll="0"/>
    <pivotField showAll="0">
      <items count="4">
        <item x="1"/>
        <item x="2"/>
        <item x="0"/>
        <item t="default"/>
      </items>
    </pivotField>
    <pivotField dataField="1" showAll="0"/>
    <pivotField showAll="0"/>
    <pivotField showAll="0">
      <items count="5">
        <item x="1"/>
        <item x="0"/>
        <item x="3"/>
        <item x="2"/>
        <item t="default"/>
      </items>
    </pivotField>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Items count="1">
    <i/>
  </colItems>
  <dataFields count="1">
    <dataField name="Sum of Review" fld="6" baseField="0" baseItem="22"/>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BFB1CA-CFAB-456D-851B-DA72354D41CA}"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5:B118" firstHeaderRow="1" firstDataRow="1" firstDataCol="1"/>
  <pivotFields count="4">
    <pivotField showAll="0"/>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axis="axisRow" showAll="0">
      <items count="4">
        <item x="1"/>
        <item x="2"/>
        <item h="1" x="0"/>
        <item t="default"/>
      </items>
    </pivotField>
  </pivotFields>
  <rowFields count="1">
    <field x="3"/>
  </rowFields>
  <rowItems count="3">
    <i>
      <x/>
    </i>
    <i>
      <x v="1"/>
    </i>
    <i t="grand">
      <x/>
    </i>
  </rowItems>
  <colItems count="1">
    <i/>
  </colItems>
  <dataFields count="1">
    <dataField name="Average of Rating (Out of 5)" fld="2" subtotal="average" baseField="3"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8EDB417-05C5-45C5-8481-4429ACAF55A2}"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0:B133" firstHeaderRow="1" firstDataRow="1" firstDataCol="1"/>
  <pivotFields count="4">
    <pivotField showAll="0"/>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pivotField axis="axisRow" showAll="0">
      <items count="4">
        <item x="1"/>
        <item x="2"/>
        <item h="1" x="0"/>
        <item t="default"/>
      </items>
    </pivotField>
  </pivotFields>
  <rowFields count="1">
    <field x="3"/>
  </rowFields>
  <rowItems count="3">
    <i>
      <x/>
    </i>
    <i>
      <x v="1"/>
    </i>
    <i t="grand">
      <x/>
    </i>
  </rowItems>
  <colItems count="1">
    <i/>
  </colItems>
  <dataFields count="1">
    <dataField name="Sum of Review" fld="1" baseField="3"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6E6503-73C8-4455-9DC9-A5D285DA3AA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7" firstHeaderRow="0"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1" showAll="0"/>
    <pivotField dataField="1" numFmtId="9" showAll="0"/>
    <pivotField axis="axisRow" showAll="0">
      <items count="4">
        <item x="1"/>
        <item x="2"/>
        <item x="0"/>
        <item t="default"/>
      </items>
    </pivotField>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axis="axisRow" showAll="0">
      <items count="5">
        <item x="1"/>
        <item x="0"/>
        <item x="3"/>
        <item x="2"/>
        <item t="default"/>
      </items>
    </pivotField>
  </pivotFields>
  <rowFields count="2">
    <field x="5"/>
    <field x="8"/>
  </rowFields>
  <rowItems count="16">
    <i>
      <x/>
    </i>
    <i r="1">
      <x/>
    </i>
    <i r="1">
      <x v="1"/>
    </i>
    <i r="1">
      <x v="2"/>
    </i>
    <i r="1">
      <x v="3"/>
    </i>
    <i>
      <x v="1"/>
    </i>
    <i r="1">
      <x/>
    </i>
    <i r="1">
      <x v="1"/>
    </i>
    <i r="1">
      <x v="2"/>
    </i>
    <i r="1">
      <x v="3"/>
    </i>
    <i>
      <x v="2"/>
    </i>
    <i r="1">
      <x/>
    </i>
    <i r="1">
      <x v="1"/>
    </i>
    <i r="1">
      <x v="2"/>
    </i>
    <i r="1">
      <x v="3"/>
    </i>
    <i t="grand">
      <x/>
    </i>
  </rowItems>
  <colFields count="1">
    <field x="-2"/>
  </colFields>
  <colItems count="2">
    <i>
      <x/>
    </i>
    <i i="1">
      <x v="1"/>
    </i>
  </colItems>
  <dataFields count="2">
    <dataField name="Sum of Discount" fld="4" baseField="0" baseItem="0" numFmtId="9"/>
    <dataField name="Count of Rating (Out of 5)" fld="7"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BE7C08C-A041-4EDC-BFB3-DE5548D70679}" sourceName="Product">
  <pivotTables>
    <pivotTable tabId="18" name="PivotTable1"/>
    <pivotTable tabId="8" name="PivotTable7"/>
    <pivotTable tabId="9" name="PivotTable8"/>
    <pivotTable tabId="13" name="PivotTable11"/>
    <pivotTable tabId="14" name="PivotTable11"/>
    <pivotTable tabId="10" name="PivotTable9"/>
  </pivotTables>
  <data>
    <tabular pivotCacheId="1999637352">
      <items count="109">
        <i x="38" s="1"/>
        <i x="11" s="1"/>
        <i x="0" s="1"/>
        <i x="27" s="1"/>
        <i x="31" s="1"/>
        <i x="61" s="1"/>
        <i x="57" s="1"/>
        <i x="9" s="1"/>
        <i x="6" s="1"/>
        <i x="101" s="1"/>
        <i x="80" s="1"/>
        <i x="5" s="1"/>
        <i x="100" s="1"/>
        <i x="91" s="1"/>
        <i x="47" s="1"/>
        <i x="73" s="1"/>
        <i x="66" s="1"/>
        <i x="65" s="1"/>
        <i x="19" s="1"/>
        <i x="74" s="1"/>
        <i x="20" s="1"/>
        <i x="94" s="1"/>
        <i x="12" s="1"/>
        <i x="40" s="1"/>
        <i x="21" s="1"/>
        <i x="58" s="1"/>
        <i x="28" s="1"/>
        <i x="34" s="1"/>
        <i x="33" s="1"/>
        <i x="79" s="1"/>
        <i x="60" s="1"/>
        <i x="106" s="1"/>
        <i x="90" s="1"/>
        <i x="45" s="1"/>
        <i x="76" s="1"/>
        <i x="71" s="1"/>
        <i x="97" s="1"/>
        <i x="99" s="1"/>
        <i x="67" s="1"/>
        <i x="56" s="1"/>
        <i x="15" s="1"/>
        <i x="64" s="1"/>
        <i x="96" s="1"/>
        <i x="42" s="1"/>
        <i x="78" s="1"/>
        <i x="108" s="1"/>
        <i x="49" s="1"/>
        <i x="46" s="1"/>
        <i x="83" s="1"/>
        <i x="103" s="1"/>
        <i x="44" s="1"/>
        <i x="55" s="1"/>
        <i x="36" s="1"/>
        <i x="48" s="1"/>
        <i x="75" s="1"/>
        <i x="53" s="1"/>
        <i x="7" s="1"/>
        <i x="35" s="1"/>
        <i x="72" s="1"/>
        <i x="25" s="1"/>
        <i x="30" s="1"/>
        <i x="23" s="1"/>
        <i x="10" s="1"/>
        <i x="81" s="1"/>
        <i x="62" s="1"/>
        <i x="98" s="1"/>
        <i x="68" s="1"/>
        <i x="24" s="1"/>
        <i x="17" s="1"/>
        <i x="13" s="1"/>
        <i x="8" s="1"/>
        <i x="39" s="1"/>
        <i x="32" s="1"/>
        <i x="22" s="1"/>
        <i x="102" s="1"/>
        <i x="18" s="1"/>
        <i x="77" s="1"/>
        <i x="1" s="1"/>
        <i x="95" s="1"/>
        <i x="41" s="1"/>
        <i x="14" s="1"/>
        <i x="86" s="1"/>
        <i x="29" s="1"/>
        <i x="52" s="1"/>
        <i x="59" s="1"/>
        <i x="82" s="1"/>
        <i x="84" s="1"/>
        <i x="16" s="1"/>
        <i x="50" s="1"/>
        <i x="51" s="1"/>
        <i x="4" s="1"/>
        <i x="2" s="1"/>
        <i x="93" s="1"/>
        <i x="26" s="1"/>
        <i x="88" s="1"/>
        <i x="37" s="1"/>
        <i x="89" s="1"/>
        <i x="43" s="1"/>
        <i x="104" s="1"/>
        <i x="54" s="1"/>
        <i x="105" s="1"/>
        <i x="63" s="1"/>
        <i x="87" s="1"/>
        <i x="92" s="1"/>
        <i x="107" s="1"/>
        <i x="85" s="1"/>
        <i x="69" s="1"/>
        <i x="3" s="1"/>
        <i x="7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789165F6-F913-4F7F-909D-0C47769C87D7}" sourceName="Discount Category">
  <pivotTables>
    <pivotTable tabId="18" name="PivotTable1"/>
    <pivotTable tabId="8" name="PivotTable7"/>
    <pivotTable tabId="9" name="PivotTable8"/>
    <pivotTable tabId="13" name="PivotTable11"/>
    <pivotTable tabId="14" name="PivotTable11"/>
    <pivotTable tabId="10" name="PivotTable9"/>
  </pivotTables>
  <data>
    <tabular pivotCacheId="199963735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9C4B537F-892B-4980-8884-7B04D9ACA14F}" sourceName="Rating Category">
  <pivotTables>
    <pivotTable tabId="18" name="PivotTable1"/>
    <pivotTable tabId="8" name="PivotTable7"/>
    <pivotTable tabId="9" name="PivotTable8"/>
    <pivotTable tabId="13" name="PivotTable11"/>
    <pivotTable tabId="14" name="PivotTable11"/>
    <pivotTable tabId="10" name="PivotTable9"/>
  </pivotTables>
  <data>
    <tabular pivotCacheId="1999637352">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59284D2-597A-4A32-9D0D-714B9AA0A91B}" cache="Slicer_Product" caption="Product" style="SlicerStyleLight4" rowHeight="234950"/>
  <slicer name="Discount Category" xr10:uid="{C42E32D9-5084-4166-BFB2-AF74857F58BF}" cache="Slicer_Discount_Category" caption="Discount Category" style="SlicerStyleLight4" rowHeight="234950"/>
  <slicer name="Discount Category 1" xr10:uid="{A5AC5BE5-6C7B-406A-9F89-FA1E29FEB353}" cache="Slicer_Discount_Category" caption="Discount Category" style="SlicerStyleLight4" rowHeight="234950"/>
  <slicer name="Rating Category" xr10:uid="{B1679ABA-6D67-4470-B33E-3BA57E6ECF56}" cache="Slicer_Rating_Category" caption="Rating Category"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9DEDBEA9-0286-4EFF-AB86-D5DD24912332}" cache="Slicer_Product" caption="Product" style="SlicerStyleLight4" rowHeight="234950"/>
  <slicer name="Discount Category 2" xr10:uid="{DC67430D-909D-4DFB-8FE3-A9F9CFEA9B5C}" cache="Slicer_Discount_Category" caption="Discount Category" style="SlicerStyleLight4" rowHeight="234950"/>
  <slicer name="Rating Category 1" xr10:uid="{33DED8E7-9E54-4074-B4BD-448780B98D22}" cache="Slicer_Rating_Category" caption="Rating Category"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EF188-BC36-483D-980F-BFF6C8015D13}">
  <dimension ref="A1:F116"/>
  <sheetViews>
    <sheetView workbookViewId="0">
      <selection activeCell="H13" sqref="H13"/>
    </sheetView>
  </sheetViews>
  <sheetFormatPr defaultRowHeight="14.4" x14ac:dyDescent="0.3"/>
  <sheetData>
    <row r="1" spans="1:6" x14ac:dyDescent="0.3">
      <c r="A1" t="s">
        <v>0</v>
      </c>
      <c r="B1" t="s">
        <v>1</v>
      </c>
      <c r="C1" t="s">
        <v>2</v>
      </c>
      <c r="D1" t="s">
        <v>3</v>
      </c>
      <c r="E1" t="s">
        <v>4</v>
      </c>
      <c r="F1" t="s">
        <v>5</v>
      </c>
    </row>
    <row r="2" spans="1:6" x14ac:dyDescent="0.3">
      <c r="A2" t="s">
        <v>6</v>
      </c>
      <c r="B2" t="s">
        <v>7</v>
      </c>
      <c r="C2" t="s">
        <v>8</v>
      </c>
      <c r="D2" s="1">
        <v>0.38</v>
      </c>
      <c r="E2">
        <v>-2</v>
      </c>
      <c r="F2" t="s">
        <v>9</v>
      </c>
    </row>
    <row r="3" spans="1:6" x14ac:dyDescent="0.3">
      <c r="A3" t="s">
        <v>10</v>
      </c>
      <c r="B3" t="s">
        <v>11</v>
      </c>
      <c r="C3" t="s">
        <v>12</v>
      </c>
      <c r="D3" s="1">
        <v>0.47</v>
      </c>
      <c r="E3">
        <v>-14</v>
      </c>
      <c r="F3" t="s">
        <v>13</v>
      </c>
    </row>
    <row r="4" spans="1:6" x14ac:dyDescent="0.3">
      <c r="A4" t="s">
        <v>14</v>
      </c>
      <c r="B4" t="s">
        <v>15</v>
      </c>
      <c r="C4" t="s">
        <v>16</v>
      </c>
      <c r="D4" s="1">
        <v>0.25</v>
      </c>
      <c r="E4">
        <v>-24</v>
      </c>
      <c r="F4" t="s">
        <v>17</v>
      </c>
    </row>
    <row r="5" spans="1:6" x14ac:dyDescent="0.3">
      <c r="A5" t="s">
        <v>18</v>
      </c>
      <c r="B5" t="s">
        <v>19</v>
      </c>
      <c r="C5" t="s">
        <v>20</v>
      </c>
      <c r="D5" s="1">
        <v>0.37</v>
      </c>
      <c r="E5">
        <v>-7</v>
      </c>
      <c r="F5" t="s">
        <v>21</v>
      </c>
    </row>
    <row r="6" spans="1:6" x14ac:dyDescent="0.3">
      <c r="A6" t="s">
        <v>22</v>
      </c>
      <c r="B6" t="s">
        <v>23</v>
      </c>
      <c r="C6" t="s">
        <v>24</v>
      </c>
      <c r="D6" s="1">
        <v>0.26</v>
      </c>
      <c r="E6">
        <v>-5</v>
      </c>
      <c r="F6" t="s">
        <v>25</v>
      </c>
    </row>
    <row r="7" spans="1:6" x14ac:dyDescent="0.3">
      <c r="A7" t="s">
        <v>26</v>
      </c>
      <c r="B7" t="s">
        <v>27</v>
      </c>
      <c r="C7" t="s">
        <v>28</v>
      </c>
      <c r="D7" s="1">
        <v>0.09</v>
      </c>
      <c r="E7">
        <v>-15</v>
      </c>
      <c r="F7" t="s">
        <v>29</v>
      </c>
    </row>
    <row r="8" spans="1:6" x14ac:dyDescent="0.3">
      <c r="A8" t="s">
        <v>30</v>
      </c>
      <c r="B8" t="s">
        <v>31</v>
      </c>
      <c r="C8" t="s">
        <v>32</v>
      </c>
      <c r="D8" s="1">
        <v>0.24</v>
      </c>
      <c r="E8">
        <v>-55</v>
      </c>
      <c r="F8" t="s">
        <v>17</v>
      </c>
    </row>
    <row r="9" spans="1:6" x14ac:dyDescent="0.3">
      <c r="A9" t="s">
        <v>33</v>
      </c>
      <c r="B9" t="s">
        <v>34</v>
      </c>
      <c r="C9" t="s">
        <v>19</v>
      </c>
      <c r="D9" s="1">
        <v>0.37</v>
      </c>
      <c r="E9">
        <v>-2</v>
      </c>
      <c r="F9" t="s">
        <v>29</v>
      </c>
    </row>
    <row r="10" spans="1:6" x14ac:dyDescent="0.3">
      <c r="A10" t="s">
        <v>35</v>
      </c>
      <c r="B10" t="s">
        <v>36</v>
      </c>
      <c r="C10" t="s">
        <v>37</v>
      </c>
      <c r="D10" s="1">
        <v>0.55000000000000004</v>
      </c>
      <c r="E10">
        <v>-5</v>
      </c>
      <c r="F10" t="s">
        <v>25</v>
      </c>
    </row>
    <row r="11" spans="1:6" x14ac:dyDescent="0.3">
      <c r="A11" t="s">
        <v>38</v>
      </c>
      <c r="B11" t="s">
        <v>39</v>
      </c>
      <c r="C11" t="s">
        <v>40</v>
      </c>
      <c r="D11" s="1">
        <v>0.45</v>
      </c>
      <c r="E11">
        <v>-5</v>
      </c>
      <c r="F11" t="s">
        <v>41</v>
      </c>
    </row>
    <row r="12" spans="1:6" x14ac:dyDescent="0.3">
      <c r="A12" t="s">
        <v>42</v>
      </c>
      <c r="B12" t="s">
        <v>43</v>
      </c>
      <c r="C12" t="s">
        <v>12</v>
      </c>
      <c r="D12" s="1">
        <v>0.2</v>
      </c>
      <c r="E12">
        <v>-12</v>
      </c>
      <c r="F12" t="s">
        <v>13</v>
      </c>
    </row>
    <row r="13" spans="1:6" x14ac:dyDescent="0.3">
      <c r="A13" t="s">
        <v>44</v>
      </c>
      <c r="B13" t="s">
        <v>45</v>
      </c>
      <c r="C13" t="s">
        <v>46</v>
      </c>
      <c r="D13" s="1">
        <v>0.34</v>
      </c>
      <c r="E13">
        <v>-39</v>
      </c>
      <c r="F13" t="s">
        <v>21</v>
      </c>
    </row>
    <row r="14" spans="1:6" x14ac:dyDescent="0.3">
      <c r="A14" t="s">
        <v>47</v>
      </c>
      <c r="B14" t="s">
        <v>48</v>
      </c>
      <c r="C14" t="s">
        <v>49</v>
      </c>
      <c r="D14" s="1">
        <v>0.47</v>
      </c>
      <c r="E14">
        <v>-12</v>
      </c>
      <c r="F14" t="s">
        <v>25</v>
      </c>
    </row>
    <row r="15" spans="1:6" x14ac:dyDescent="0.3">
      <c r="A15" t="s">
        <v>50</v>
      </c>
      <c r="B15" t="s">
        <v>51</v>
      </c>
      <c r="C15" t="s">
        <v>52</v>
      </c>
      <c r="D15" s="1">
        <v>0.42</v>
      </c>
      <c r="E15">
        <v>-6</v>
      </c>
      <c r="F15" t="s">
        <v>9</v>
      </c>
    </row>
    <row r="16" spans="1:6" x14ac:dyDescent="0.3">
      <c r="A16" t="s">
        <v>53</v>
      </c>
      <c r="B16" t="s">
        <v>54</v>
      </c>
      <c r="C16" t="s">
        <v>20</v>
      </c>
      <c r="D16" s="1">
        <v>0.33</v>
      </c>
      <c r="E16">
        <v>-9</v>
      </c>
      <c r="F16" t="s">
        <v>55</v>
      </c>
    </row>
    <row r="17" spans="1:6" x14ac:dyDescent="0.3">
      <c r="A17" t="s">
        <v>56</v>
      </c>
      <c r="B17" t="s">
        <v>57</v>
      </c>
      <c r="C17" t="s">
        <v>58</v>
      </c>
      <c r="D17" s="1">
        <v>0.51</v>
      </c>
      <c r="E17">
        <v>-2</v>
      </c>
      <c r="F17" t="s">
        <v>59</v>
      </c>
    </row>
    <row r="18" spans="1:6" x14ac:dyDescent="0.3">
      <c r="A18" t="s">
        <v>60</v>
      </c>
      <c r="B18" t="s">
        <v>61</v>
      </c>
      <c r="C18" t="s">
        <v>62</v>
      </c>
      <c r="D18" s="1">
        <v>0.46</v>
      </c>
      <c r="E18">
        <v>-2</v>
      </c>
      <c r="F18" t="s">
        <v>59</v>
      </c>
    </row>
    <row r="19" spans="1:6" x14ac:dyDescent="0.3">
      <c r="A19" t="s">
        <v>63</v>
      </c>
      <c r="B19" t="s">
        <v>64</v>
      </c>
      <c r="C19" t="s">
        <v>65</v>
      </c>
      <c r="D19" s="1">
        <v>0.49</v>
      </c>
      <c r="E19">
        <v>-3</v>
      </c>
      <c r="F19" t="s">
        <v>59</v>
      </c>
    </row>
    <row r="20" spans="1:6" x14ac:dyDescent="0.3">
      <c r="A20" t="s">
        <v>66</v>
      </c>
      <c r="B20" t="s">
        <v>27</v>
      </c>
      <c r="C20" t="s">
        <v>67</v>
      </c>
      <c r="D20" s="1">
        <v>0.19</v>
      </c>
      <c r="E20">
        <v>-5</v>
      </c>
      <c r="F20" t="s">
        <v>17</v>
      </c>
    </row>
    <row r="21" spans="1:6" x14ac:dyDescent="0.3">
      <c r="A21" t="s">
        <v>68</v>
      </c>
      <c r="B21" t="s">
        <v>69</v>
      </c>
      <c r="C21" t="s">
        <v>70</v>
      </c>
      <c r="D21" s="1">
        <v>0.49</v>
      </c>
      <c r="E21">
        <v>-44</v>
      </c>
      <c r="F21" t="s">
        <v>17</v>
      </c>
    </row>
    <row r="22" spans="1:6" x14ac:dyDescent="0.3">
      <c r="A22" t="s">
        <v>71</v>
      </c>
      <c r="B22" t="s">
        <v>72</v>
      </c>
      <c r="C22" t="s">
        <v>73</v>
      </c>
      <c r="D22" s="1">
        <v>0.53</v>
      </c>
      <c r="E22">
        <v>-13</v>
      </c>
      <c r="F22" t="s">
        <v>74</v>
      </c>
    </row>
    <row r="23" spans="1:6" x14ac:dyDescent="0.3">
      <c r="A23" t="s">
        <v>75</v>
      </c>
      <c r="B23" t="s">
        <v>76</v>
      </c>
      <c r="C23" t="s">
        <v>77</v>
      </c>
      <c r="D23" s="1">
        <v>0.42</v>
      </c>
    </row>
    <row r="24" spans="1:6" x14ac:dyDescent="0.3">
      <c r="A24" t="s">
        <v>78</v>
      </c>
      <c r="B24" t="s">
        <v>79</v>
      </c>
      <c r="C24" t="s">
        <v>80</v>
      </c>
      <c r="D24" s="1">
        <v>0.35</v>
      </c>
      <c r="E24">
        <v>-6</v>
      </c>
      <c r="F24" t="s">
        <v>29</v>
      </c>
    </row>
    <row r="25" spans="1:6" x14ac:dyDescent="0.3">
      <c r="A25" t="s">
        <v>81</v>
      </c>
      <c r="B25" t="s">
        <v>82</v>
      </c>
      <c r="C25" t="s">
        <v>83</v>
      </c>
      <c r="D25" s="1">
        <v>0.23</v>
      </c>
      <c r="E25">
        <v>-14</v>
      </c>
      <c r="F25" t="s">
        <v>84</v>
      </c>
    </row>
    <row r="26" spans="1:6" x14ac:dyDescent="0.3">
      <c r="A26" t="s">
        <v>85</v>
      </c>
      <c r="B26" t="s">
        <v>86</v>
      </c>
      <c r="C26" t="s">
        <v>87</v>
      </c>
      <c r="D26" s="1">
        <v>0.54</v>
      </c>
      <c r="E26">
        <v>-7</v>
      </c>
      <c r="F26" t="s">
        <v>88</v>
      </c>
    </row>
    <row r="27" spans="1:6" x14ac:dyDescent="0.3">
      <c r="A27" t="s">
        <v>89</v>
      </c>
      <c r="B27" t="s">
        <v>90</v>
      </c>
      <c r="C27" t="s">
        <v>91</v>
      </c>
      <c r="D27" s="1">
        <v>0.35</v>
      </c>
      <c r="E27">
        <v>-49</v>
      </c>
      <c r="F27" t="s">
        <v>17</v>
      </c>
    </row>
    <row r="28" spans="1:6" x14ac:dyDescent="0.3">
      <c r="A28" t="s">
        <v>92</v>
      </c>
      <c r="B28" t="s">
        <v>93</v>
      </c>
      <c r="C28" t="s">
        <v>94</v>
      </c>
      <c r="D28" s="1">
        <v>0.18</v>
      </c>
      <c r="E28">
        <v>-12</v>
      </c>
      <c r="F28" t="s">
        <v>41</v>
      </c>
    </row>
    <row r="29" spans="1:6" x14ac:dyDescent="0.3">
      <c r="A29" t="s">
        <v>95</v>
      </c>
      <c r="B29" t="s">
        <v>80</v>
      </c>
      <c r="C29" t="s">
        <v>96</v>
      </c>
      <c r="D29" s="1">
        <v>0.32</v>
      </c>
      <c r="E29">
        <v>-13</v>
      </c>
      <c r="F29" t="s">
        <v>41</v>
      </c>
    </row>
    <row r="30" spans="1:6" x14ac:dyDescent="0.3">
      <c r="A30" t="s">
        <v>97</v>
      </c>
      <c r="B30" t="s">
        <v>98</v>
      </c>
      <c r="C30" t="s">
        <v>20</v>
      </c>
      <c r="D30" s="1">
        <v>0.3</v>
      </c>
      <c r="E30">
        <v>-20</v>
      </c>
      <c r="F30" t="s">
        <v>13</v>
      </c>
    </row>
    <row r="31" spans="1:6" x14ac:dyDescent="0.3">
      <c r="A31" t="s">
        <v>99</v>
      </c>
      <c r="B31" t="s">
        <v>100</v>
      </c>
      <c r="C31" t="s">
        <v>101</v>
      </c>
      <c r="D31" s="1">
        <v>0.46</v>
      </c>
    </row>
    <row r="32" spans="1:6" x14ac:dyDescent="0.3">
      <c r="A32" t="s">
        <v>102</v>
      </c>
      <c r="B32" t="s">
        <v>103</v>
      </c>
      <c r="C32" t="s">
        <v>104</v>
      </c>
      <c r="D32" s="1">
        <v>0.52</v>
      </c>
      <c r="E32">
        <v>-9</v>
      </c>
      <c r="F32" t="s">
        <v>88</v>
      </c>
    </row>
    <row r="33" spans="1:6" x14ac:dyDescent="0.3">
      <c r="A33" t="s">
        <v>105</v>
      </c>
      <c r="B33" t="s">
        <v>106</v>
      </c>
      <c r="C33" t="s">
        <v>107</v>
      </c>
      <c r="D33" s="1">
        <v>0.34</v>
      </c>
      <c r="E33">
        <v>-12</v>
      </c>
      <c r="F33" t="s">
        <v>21</v>
      </c>
    </row>
    <row r="34" spans="1:6" x14ac:dyDescent="0.3">
      <c r="A34" t="s">
        <v>108</v>
      </c>
      <c r="B34" t="s">
        <v>109</v>
      </c>
      <c r="C34" t="s">
        <v>110</v>
      </c>
      <c r="D34" s="1">
        <v>0.48</v>
      </c>
      <c r="E34">
        <v>-9</v>
      </c>
      <c r="F34" t="s">
        <v>88</v>
      </c>
    </row>
    <row r="35" spans="1:6" x14ac:dyDescent="0.3">
      <c r="A35" t="s">
        <v>111</v>
      </c>
      <c r="B35" t="s">
        <v>112</v>
      </c>
      <c r="C35" t="s">
        <v>113</v>
      </c>
      <c r="D35" s="1">
        <v>0.27</v>
      </c>
      <c r="E35">
        <v>-20</v>
      </c>
      <c r="F35" t="s">
        <v>21</v>
      </c>
    </row>
    <row r="36" spans="1:6" x14ac:dyDescent="0.3">
      <c r="A36" t="s">
        <v>114</v>
      </c>
      <c r="B36" t="s">
        <v>115</v>
      </c>
      <c r="C36" t="s">
        <v>116</v>
      </c>
      <c r="D36" s="1">
        <v>0.27</v>
      </c>
      <c r="E36">
        <v>-32</v>
      </c>
      <c r="F36" t="s">
        <v>9</v>
      </c>
    </row>
    <row r="37" spans="1:6" x14ac:dyDescent="0.3">
      <c r="A37" t="s">
        <v>117</v>
      </c>
      <c r="B37" t="s">
        <v>118</v>
      </c>
      <c r="C37" t="s">
        <v>119</v>
      </c>
      <c r="D37" s="1">
        <v>0.4</v>
      </c>
      <c r="E37">
        <v>-1</v>
      </c>
      <c r="F37" t="s">
        <v>59</v>
      </c>
    </row>
    <row r="38" spans="1:6" x14ac:dyDescent="0.3">
      <c r="A38" t="s">
        <v>120</v>
      </c>
      <c r="B38" t="s">
        <v>121</v>
      </c>
      <c r="C38" t="s">
        <v>62</v>
      </c>
      <c r="D38" s="1">
        <v>0.53</v>
      </c>
      <c r="E38">
        <v>-2</v>
      </c>
      <c r="F38" t="s">
        <v>59</v>
      </c>
    </row>
    <row r="39" spans="1:6" x14ac:dyDescent="0.3">
      <c r="A39" t="s">
        <v>122</v>
      </c>
      <c r="B39" t="s">
        <v>123</v>
      </c>
      <c r="C39" t="s">
        <v>124</v>
      </c>
      <c r="D39" s="1">
        <v>0.41</v>
      </c>
      <c r="E39">
        <v>-36</v>
      </c>
      <c r="F39" t="s">
        <v>88</v>
      </c>
    </row>
    <row r="40" spans="1:6" x14ac:dyDescent="0.3">
      <c r="A40" t="s">
        <v>125</v>
      </c>
      <c r="B40" t="s">
        <v>126</v>
      </c>
      <c r="C40" t="s">
        <v>127</v>
      </c>
      <c r="D40" s="1">
        <v>0.38</v>
      </c>
      <c r="E40">
        <v>-2</v>
      </c>
      <c r="F40" t="s">
        <v>9</v>
      </c>
    </row>
    <row r="41" spans="1:6" x14ac:dyDescent="0.3">
      <c r="A41" t="s">
        <v>128</v>
      </c>
      <c r="B41" t="s">
        <v>129</v>
      </c>
      <c r="C41" t="s">
        <v>130</v>
      </c>
      <c r="D41" s="1">
        <v>0.38</v>
      </c>
    </row>
    <row r="42" spans="1:6" x14ac:dyDescent="0.3">
      <c r="A42" t="s">
        <v>131</v>
      </c>
      <c r="B42" t="s">
        <v>132</v>
      </c>
      <c r="C42" t="s">
        <v>133</v>
      </c>
      <c r="D42" s="1">
        <v>0.49</v>
      </c>
    </row>
    <row r="43" spans="1:6" x14ac:dyDescent="0.3">
      <c r="A43" t="s">
        <v>134</v>
      </c>
      <c r="B43" t="s">
        <v>135</v>
      </c>
      <c r="C43" t="s">
        <v>136</v>
      </c>
      <c r="D43" s="1">
        <v>0.5</v>
      </c>
    </row>
    <row r="44" spans="1:6" x14ac:dyDescent="0.3">
      <c r="A44" t="s">
        <v>137</v>
      </c>
      <c r="B44" t="s">
        <v>138</v>
      </c>
      <c r="C44" t="s">
        <v>139</v>
      </c>
      <c r="D44" s="1">
        <v>0.42</v>
      </c>
    </row>
    <row r="45" spans="1:6" x14ac:dyDescent="0.3">
      <c r="A45" t="s">
        <v>137</v>
      </c>
      <c r="B45" t="s">
        <v>138</v>
      </c>
      <c r="C45" t="s">
        <v>139</v>
      </c>
      <c r="D45" s="1">
        <v>0.42</v>
      </c>
    </row>
    <row r="46" spans="1:6" x14ac:dyDescent="0.3">
      <c r="A46" t="s">
        <v>140</v>
      </c>
      <c r="B46" t="s">
        <v>141</v>
      </c>
      <c r="C46" t="s">
        <v>142</v>
      </c>
      <c r="D46" s="1">
        <v>0.02</v>
      </c>
    </row>
    <row r="47" spans="1:6" x14ac:dyDescent="0.3">
      <c r="A47" t="s">
        <v>143</v>
      </c>
      <c r="B47" t="s">
        <v>12</v>
      </c>
      <c r="C47" t="s">
        <v>144</v>
      </c>
      <c r="D47" s="1">
        <v>0.5</v>
      </c>
    </row>
    <row r="48" spans="1:6" x14ac:dyDescent="0.3">
      <c r="A48" t="s">
        <v>145</v>
      </c>
      <c r="B48" t="s">
        <v>146</v>
      </c>
      <c r="C48" t="s">
        <v>147</v>
      </c>
      <c r="D48" s="1">
        <v>0.33</v>
      </c>
    </row>
    <row r="49" spans="1:6" x14ac:dyDescent="0.3">
      <c r="A49" t="s">
        <v>148</v>
      </c>
      <c r="B49" t="s">
        <v>149</v>
      </c>
      <c r="C49" t="s">
        <v>150</v>
      </c>
      <c r="D49" s="1">
        <v>0.49</v>
      </c>
    </row>
    <row r="50" spans="1:6" x14ac:dyDescent="0.3">
      <c r="A50" t="s">
        <v>151</v>
      </c>
      <c r="B50" t="s">
        <v>152</v>
      </c>
      <c r="C50" t="s">
        <v>153</v>
      </c>
      <c r="D50" s="1">
        <v>0.38</v>
      </c>
    </row>
    <row r="51" spans="1:6" x14ac:dyDescent="0.3">
      <c r="A51" t="s">
        <v>154</v>
      </c>
      <c r="B51" t="s">
        <v>155</v>
      </c>
      <c r="C51" t="s">
        <v>156</v>
      </c>
      <c r="D51" s="1">
        <v>0.61</v>
      </c>
    </row>
    <row r="52" spans="1:6" x14ac:dyDescent="0.3">
      <c r="A52" t="s">
        <v>157</v>
      </c>
      <c r="B52" t="s">
        <v>158</v>
      </c>
      <c r="C52" t="s">
        <v>159</v>
      </c>
      <c r="D52" s="1">
        <v>0.5</v>
      </c>
    </row>
    <row r="53" spans="1:6" x14ac:dyDescent="0.3">
      <c r="A53" t="s">
        <v>160</v>
      </c>
      <c r="B53" t="s">
        <v>161</v>
      </c>
      <c r="C53" t="s">
        <v>162</v>
      </c>
      <c r="D53" s="1">
        <v>0.02</v>
      </c>
    </row>
    <row r="54" spans="1:6" x14ac:dyDescent="0.3">
      <c r="A54" t="s">
        <v>163</v>
      </c>
      <c r="B54" t="s">
        <v>158</v>
      </c>
      <c r="C54" t="s">
        <v>164</v>
      </c>
      <c r="D54" s="1">
        <v>0.22</v>
      </c>
    </row>
    <row r="55" spans="1:6" x14ac:dyDescent="0.3">
      <c r="A55" t="s">
        <v>165</v>
      </c>
      <c r="B55" t="s">
        <v>166</v>
      </c>
      <c r="C55" t="s">
        <v>167</v>
      </c>
      <c r="D55" s="1">
        <v>0.03</v>
      </c>
    </row>
    <row r="56" spans="1:6" x14ac:dyDescent="0.3">
      <c r="A56" t="s">
        <v>168</v>
      </c>
      <c r="B56" t="s">
        <v>43</v>
      </c>
      <c r="C56" t="s">
        <v>169</v>
      </c>
      <c r="D56" s="1">
        <v>0.41</v>
      </c>
    </row>
    <row r="57" spans="1:6" x14ac:dyDescent="0.3">
      <c r="A57" t="s">
        <v>170</v>
      </c>
      <c r="B57" t="s">
        <v>171</v>
      </c>
      <c r="C57" t="s">
        <v>172</v>
      </c>
      <c r="D57" s="1">
        <v>0.45</v>
      </c>
    </row>
    <row r="58" spans="1:6" x14ac:dyDescent="0.3">
      <c r="A58" t="s">
        <v>173</v>
      </c>
      <c r="B58" t="s">
        <v>174</v>
      </c>
      <c r="C58" t="s">
        <v>169</v>
      </c>
      <c r="D58" s="1">
        <v>0.48</v>
      </c>
    </row>
    <row r="59" spans="1:6" x14ac:dyDescent="0.3">
      <c r="A59" t="s">
        <v>175</v>
      </c>
      <c r="B59" t="s">
        <v>43</v>
      </c>
      <c r="C59" t="s">
        <v>176</v>
      </c>
      <c r="D59" s="1">
        <v>0.49</v>
      </c>
    </row>
    <row r="60" spans="1:6" x14ac:dyDescent="0.3">
      <c r="A60" t="s">
        <v>177</v>
      </c>
      <c r="B60" t="s">
        <v>178</v>
      </c>
      <c r="C60" t="s">
        <v>179</v>
      </c>
      <c r="D60" s="1">
        <v>0.27</v>
      </c>
    </row>
    <row r="61" spans="1:6" x14ac:dyDescent="0.3">
      <c r="A61" t="s">
        <v>170</v>
      </c>
      <c r="B61" t="s">
        <v>180</v>
      </c>
      <c r="C61" t="s">
        <v>181</v>
      </c>
      <c r="D61" s="1">
        <v>0.55000000000000004</v>
      </c>
    </row>
    <row r="62" spans="1:6" x14ac:dyDescent="0.3">
      <c r="A62" t="s">
        <v>182</v>
      </c>
      <c r="B62" t="s">
        <v>183</v>
      </c>
      <c r="C62" t="s">
        <v>184</v>
      </c>
      <c r="D62" s="1">
        <v>0.13</v>
      </c>
      <c r="E62">
        <v>-6</v>
      </c>
      <c r="F62" t="s">
        <v>185</v>
      </c>
    </row>
    <row r="63" spans="1:6" x14ac:dyDescent="0.3">
      <c r="A63" t="s">
        <v>186</v>
      </c>
      <c r="B63" t="s">
        <v>187</v>
      </c>
      <c r="C63" t="s">
        <v>188</v>
      </c>
      <c r="D63" s="1">
        <v>0.54</v>
      </c>
      <c r="E63">
        <v>-10</v>
      </c>
      <c r="F63" t="s">
        <v>189</v>
      </c>
    </row>
    <row r="64" spans="1:6" x14ac:dyDescent="0.3">
      <c r="A64" t="s">
        <v>190</v>
      </c>
      <c r="B64" t="s">
        <v>191</v>
      </c>
      <c r="C64" t="s">
        <v>192</v>
      </c>
      <c r="D64" s="1">
        <v>0.55000000000000004</v>
      </c>
      <c r="E64">
        <v>-13</v>
      </c>
      <c r="F64" t="s">
        <v>193</v>
      </c>
    </row>
    <row r="65" spans="1:6" x14ac:dyDescent="0.3">
      <c r="A65" t="s">
        <v>194</v>
      </c>
      <c r="B65" t="s">
        <v>195</v>
      </c>
      <c r="C65" t="s">
        <v>196</v>
      </c>
      <c r="D65" s="1">
        <v>0.49</v>
      </c>
      <c r="E65">
        <v>-69</v>
      </c>
      <c r="F65" t="s">
        <v>197</v>
      </c>
    </row>
    <row r="66" spans="1:6" x14ac:dyDescent="0.3">
      <c r="A66" t="s">
        <v>198</v>
      </c>
      <c r="B66" t="s">
        <v>199</v>
      </c>
      <c r="C66" t="s">
        <v>200</v>
      </c>
      <c r="D66" s="1">
        <v>0.52</v>
      </c>
      <c r="E66">
        <v>-15</v>
      </c>
      <c r="F66" t="s">
        <v>201</v>
      </c>
    </row>
    <row r="67" spans="1:6" x14ac:dyDescent="0.3">
      <c r="A67" t="s">
        <v>202</v>
      </c>
      <c r="B67" t="s">
        <v>203</v>
      </c>
      <c r="C67" t="s">
        <v>204</v>
      </c>
      <c r="D67" s="1">
        <v>0.22</v>
      </c>
      <c r="E67">
        <v>-16</v>
      </c>
      <c r="F67" t="s">
        <v>205</v>
      </c>
    </row>
    <row r="68" spans="1:6" x14ac:dyDescent="0.3">
      <c r="A68" t="s">
        <v>206</v>
      </c>
      <c r="B68" t="s">
        <v>45</v>
      </c>
      <c r="C68" t="s">
        <v>207</v>
      </c>
      <c r="D68" s="1">
        <v>0.45</v>
      </c>
      <c r="E68">
        <v>-6</v>
      </c>
      <c r="F68" t="s">
        <v>208</v>
      </c>
    </row>
    <row r="69" spans="1:6" x14ac:dyDescent="0.3">
      <c r="A69" t="s">
        <v>209</v>
      </c>
      <c r="B69" t="s">
        <v>210</v>
      </c>
      <c r="C69" t="s">
        <v>144</v>
      </c>
      <c r="D69" s="1">
        <v>0.5</v>
      </c>
      <c r="E69">
        <v>-7</v>
      </c>
      <c r="F69" t="s">
        <v>211</v>
      </c>
    </row>
    <row r="70" spans="1:6" x14ac:dyDescent="0.3">
      <c r="A70" t="s">
        <v>212</v>
      </c>
      <c r="B70" t="s">
        <v>213</v>
      </c>
      <c r="C70" t="s">
        <v>214</v>
      </c>
      <c r="D70" s="1">
        <v>0.39</v>
      </c>
      <c r="E70">
        <v>-5</v>
      </c>
      <c r="F70" t="s">
        <v>189</v>
      </c>
    </row>
    <row r="71" spans="1:6" x14ac:dyDescent="0.3">
      <c r="A71" t="s">
        <v>215</v>
      </c>
      <c r="B71" t="s">
        <v>104</v>
      </c>
      <c r="C71" t="s">
        <v>216</v>
      </c>
      <c r="D71" s="1">
        <v>0.45</v>
      </c>
      <c r="E71">
        <v>-17</v>
      </c>
      <c r="F71" t="s">
        <v>217</v>
      </c>
    </row>
    <row r="72" spans="1:6" x14ac:dyDescent="0.3">
      <c r="A72" t="s">
        <v>218</v>
      </c>
      <c r="B72" t="s">
        <v>219</v>
      </c>
      <c r="C72" t="s">
        <v>220</v>
      </c>
      <c r="D72" s="1">
        <v>0.28999999999999998</v>
      </c>
      <c r="E72">
        <v>-5</v>
      </c>
      <c r="F72" t="s">
        <v>189</v>
      </c>
    </row>
    <row r="73" spans="1:6" x14ac:dyDescent="0.3">
      <c r="A73" t="s">
        <v>221</v>
      </c>
      <c r="B73" t="s">
        <v>222</v>
      </c>
      <c r="C73" t="s">
        <v>223</v>
      </c>
      <c r="D73" s="1">
        <v>0.43</v>
      </c>
      <c r="E73">
        <v>-6</v>
      </c>
      <c r="F73" t="s">
        <v>211</v>
      </c>
    </row>
    <row r="74" spans="1:6" x14ac:dyDescent="0.3">
      <c r="A74" t="s">
        <v>224</v>
      </c>
      <c r="B74" t="s">
        <v>225</v>
      </c>
      <c r="C74" t="s">
        <v>226</v>
      </c>
      <c r="D74" s="1">
        <v>0.43</v>
      </c>
      <c r="E74">
        <v>-5</v>
      </c>
      <c r="F74" t="s">
        <v>189</v>
      </c>
    </row>
    <row r="75" spans="1:6" x14ac:dyDescent="0.3">
      <c r="A75" t="s">
        <v>227</v>
      </c>
      <c r="B75" t="s">
        <v>228</v>
      </c>
      <c r="C75" t="s">
        <v>207</v>
      </c>
      <c r="D75" s="1">
        <v>0.47</v>
      </c>
      <c r="E75">
        <v>-6</v>
      </c>
      <c r="F75" t="s">
        <v>208</v>
      </c>
    </row>
    <row r="76" spans="1:6" x14ac:dyDescent="0.3">
      <c r="A76" t="s">
        <v>229</v>
      </c>
      <c r="B76" t="s">
        <v>230</v>
      </c>
      <c r="C76" t="s">
        <v>231</v>
      </c>
      <c r="D76" s="1">
        <v>0.47</v>
      </c>
      <c r="E76">
        <v>-7</v>
      </c>
      <c r="F76" t="s">
        <v>193</v>
      </c>
    </row>
    <row r="77" spans="1:6" x14ac:dyDescent="0.3">
      <c r="A77" t="s">
        <v>232</v>
      </c>
      <c r="B77" t="s">
        <v>233</v>
      </c>
      <c r="C77" t="s">
        <v>234</v>
      </c>
      <c r="D77" s="1">
        <v>0.47</v>
      </c>
    </row>
    <row r="78" spans="1:6" x14ac:dyDescent="0.3">
      <c r="A78" t="s">
        <v>235</v>
      </c>
      <c r="B78" t="s">
        <v>236</v>
      </c>
      <c r="C78" t="s">
        <v>152</v>
      </c>
      <c r="D78" s="1">
        <v>0.43</v>
      </c>
    </row>
    <row r="79" spans="1:6" x14ac:dyDescent="0.3">
      <c r="A79" t="s">
        <v>237</v>
      </c>
      <c r="B79" t="s">
        <v>238</v>
      </c>
      <c r="C79" t="s">
        <v>239</v>
      </c>
      <c r="D79" s="1">
        <v>0.04</v>
      </c>
    </row>
    <row r="80" spans="1:6" x14ac:dyDescent="0.3">
      <c r="A80" t="s">
        <v>240</v>
      </c>
      <c r="B80" t="s">
        <v>241</v>
      </c>
      <c r="C80" t="s">
        <v>242</v>
      </c>
      <c r="D80" s="1">
        <v>0.49</v>
      </c>
    </row>
    <row r="81" spans="1:6" x14ac:dyDescent="0.3">
      <c r="A81" t="s">
        <v>243</v>
      </c>
      <c r="B81" t="s">
        <v>244</v>
      </c>
      <c r="C81" t="s">
        <v>15</v>
      </c>
      <c r="D81" s="1">
        <v>0.46</v>
      </c>
      <c r="E81">
        <v>-1</v>
      </c>
      <c r="F81" t="s">
        <v>189</v>
      </c>
    </row>
    <row r="82" spans="1:6" x14ac:dyDescent="0.3">
      <c r="A82" t="s">
        <v>245</v>
      </c>
      <c r="B82" t="s">
        <v>246</v>
      </c>
      <c r="C82" t="s">
        <v>247</v>
      </c>
      <c r="D82" s="1">
        <v>0.49</v>
      </c>
      <c r="E82">
        <v>-1</v>
      </c>
      <c r="F82" t="s">
        <v>59</v>
      </c>
    </row>
    <row r="83" spans="1:6" x14ac:dyDescent="0.3">
      <c r="A83" t="s">
        <v>248</v>
      </c>
      <c r="B83" t="s">
        <v>249</v>
      </c>
      <c r="C83" t="s">
        <v>250</v>
      </c>
      <c r="D83" s="1">
        <v>0.36</v>
      </c>
    </row>
    <row r="84" spans="1:6" x14ac:dyDescent="0.3">
      <c r="A84" t="s">
        <v>251</v>
      </c>
      <c r="B84" t="s">
        <v>252</v>
      </c>
      <c r="C84" t="s">
        <v>162</v>
      </c>
      <c r="D84" s="1">
        <v>0.02</v>
      </c>
    </row>
    <row r="85" spans="1:6" x14ac:dyDescent="0.3">
      <c r="A85" t="s">
        <v>253</v>
      </c>
      <c r="B85" t="s">
        <v>254</v>
      </c>
      <c r="C85" t="s">
        <v>91</v>
      </c>
      <c r="D85" s="1">
        <v>0.49</v>
      </c>
      <c r="E85">
        <v>-1</v>
      </c>
      <c r="F85" t="s">
        <v>29</v>
      </c>
    </row>
    <row r="86" spans="1:6" x14ac:dyDescent="0.3">
      <c r="A86" t="s">
        <v>137</v>
      </c>
      <c r="B86" t="s">
        <v>138</v>
      </c>
      <c r="C86" t="s">
        <v>139</v>
      </c>
      <c r="D86" s="1">
        <v>0.42</v>
      </c>
    </row>
    <row r="87" spans="1:6" x14ac:dyDescent="0.3">
      <c r="A87" t="s">
        <v>154</v>
      </c>
      <c r="B87" t="s">
        <v>255</v>
      </c>
      <c r="C87" t="s">
        <v>222</v>
      </c>
      <c r="D87" s="1">
        <v>0.49</v>
      </c>
    </row>
    <row r="88" spans="1:6" x14ac:dyDescent="0.3">
      <c r="A88" t="s">
        <v>256</v>
      </c>
      <c r="B88" t="s">
        <v>257</v>
      </c>
      <c r="C88" t="s">
        <v>162</v>
      </c>
      <c r="D88" s="1">
        <v>0.14000000000000001</v>
      </c>
    </row>
    <row r="89" spans="1:6" x14ac:dyDescent="0.3">
      <c r="A89" t="s">
        <v>258</v>
      </c>
      <c r="B89" t="s">
        <v>259</v>
      </c>
      <c r="C89" t="s">
        <v>260</v>
      </c>
      <c r="D89" s="1">
        <v>0.49</v>
      </c>
    </row>
    <row r="90" spans="1:6" x14ac:dyDescent="0.3">
      <c r="A90" t="s">
        <v>261</v>
      </c>
      <c r="B90" t="s">
        <v>43</v>
      </c>
      <c r="C90" t="s">
        <v>172</v>
      </c>
      <c r="D90" s="1">
        <v>0.11</v>
      </c>
    </row>
    <row r="91" spans="1:6" x14ac:dyDescent="0.3">
      <c r="A91" t="s">
        <v>175</v>
      </c>
      <c r="B91" t="s">
        <v>262</v>
      </c>
      <c r="C91" t="s">
        <v>263</v>
      </c>
      <c r="D91" s="1">
        <v>0.49</v>
      </c>
    </row>
    <row r="92" spans="1:6" x14ac:dyDescent="0.3">
      <c r="A92" t="s">
        <v>264</v>
      </c>
      <c r="B92" t="s">
        <v>265</v>
      </c>
      <c r="C92" t="s">
        <v>162</v>
      </c>
      <c r="D92" s="1">
        <v>0.14000000000000001</v>
      </c>
    </row>
    <row r="93" spans="1:6" x14ac:dyDescent="0.3">
      <c r="A93" t="s">
        <v>266</v>
      </c>
      <c r="B93" t="s">
        <v>267</v>
      </c>
      <c r="C93" t="s">
        <v>268</v>
      </c>
      <c r="D93" s="1">
        <v>0.43</v>
      </c>
    </row>
    <row r="94" spans="1:6" x14ac:dyDescent="0.3">
      <c r="A94" t="s">
        <v>269</v>
      </c>
      <c r="B94" t="s">
        <v>270</v>
      </c>
      <c r="C94" t="s">
        <v>271</v>
      </c>
      <c r="D94" s="1">
        <v>0.5</v>
      </c>
    </row>
    <row r="95" spans="1:6" x14ac:dyDescent="0.3">
      <c r="A95" t="s">
        <v>272</v>
      </c>
      <c r="B95" t="s">
        <v>273</v>
      </c>
      <c r="C95" t="s">
        <v>184</v>
      </c>
      <c r="D95" s="1">
        <v>0.48</v>
      </c>
    </row>
    <row r="96" spans="1:6" x14ac:dyDescent="0.3">
      <c r="A96" t="s">
        <v>274</v>
      </c>
      <c r="B96" t="s">
        <v>275</v>
      </c>
      <c r="C96" t="s">
        <v>276</v>
      </c>
      <c r="D96" s="1">
        <v>0.48</v>
      </c>
    </row>
    <row r="97" spans="1:6" x14ac:dyDescent="0.3">
      <c r="A97" t="s">
        <v>277</v>
      </c>
      <c r="B97" t="s">
        <v>226</v>
      </c>
      <c r="C97" t="s">
        <v>162</v>
      </c>
      <c r="D97" s="1">
        <v>0.47</v>
      </c>
    </row>
    <row r="98" spans="1:6" x14ac:dyDescent="0.3">
      <c r="A98" t="s">
        <v>277</v>
      </c>
      <c r="B98" t="s">
        <v>226</v>
      </c>
      <c r="C98" t="s">
        <v>162</v>
      </c>
      <c r="D98" s="1">
        <v>0.47</v>
      </c>
    </row>
    <row r="99" spans="1:6" x14ac:dyDescent="0.3">
      <c r="A99" t="s">
        <v>278</v>
      </c>
      <c r="B99" t="s">
        <v>152</v>
      </c>
      <c r="C99" t="s">
        <v>279</v>
      </c>
      <c r="D99" s="1">
        <v>0.5</v>
      </c>
    </row>
    <row r="100" spans="1:6" x14ac:dyDescent="0.3">
      <c r="A100" t="s">
        <v>280</v>
      </c>
      <c r="B100" t="s">
        <v>281</v>
      </c>
      <c r="C100" t="s">
        <v>161</v>
      </c>
      <c r="D100" s="1">
        <v>0.08</v>
      </c>
    </row>
    <row r="101" spans="1:6" x14ac:dyDescent="0.3">
      <c r="A101" t="s">
        <v>282</v>
      </c>
      <c r="B101" t="s">
        <v>283</v>
      </c>
      <c r="C101" t="s">
        <v>167</v>
      </c>
      <c r="D101" s="1">
        <v>0.02</v>
      </c>
    </row>
    <row r="102" spans="1:6" x14ac:dyDescent="0.3">
      <c r="A102" t="s">
        <v>284</v>
      </c>
      <c r="B102" t="s">
        <v>285</v>
      </c>
      <c r="C102" t="s">
        <v>286</v>
      </c>
      <c r="D102" s="1">
        <v>0.49</v>
      </c>
    </row>
    <row r="103" spans="1:6" x14ac:dyDescent="0.3">
      <c r="A103" t="s">
        <v>287</v>
      </c>
      <c r="B103" t="s">
        <v>288</v>
      </c>
      <c r="C103" t="s">
        <v>67</v>
      </c>
      <c r="D103" s="1">
        <v>0.04</v>
      </c>
    </row>
    <row r="104" spans="1:6" x14ac:dyDescent="0.3">
      <c r="A104" t="s">
        <v>289</v>
      </c>
      <c r="B104" t="s">
        <v>290</v>
      </c>
      <c r="C104" t="s">
        <v>291</v>
      </c>
      <c r="D104" s="1">
        <v>0.49</v>
      </c>
    </row>
    <row r="105" spans="1:6" x14ac:dyDescent="0.3">
      <c r="A105" t="s">
        <v>292</v>
      </c>
      <c r="B105" t="s">
        <v>293</v>
      </c>
      <c r="C105" t="s">
        <v>294</v>
      </c>
      <c r="D105" s="1">
        <v>0.42</v>
      </c>
    </row>
    <row r="106" spans="1:6" x14ac:dyDescent="0.3">
      <c r="A106" t="s">
        <v>295</v>
      </c>
      <c r="B106" t="s">
        <v>296</v>
      </c>
      <c r="C106" t="s">
        <v>297</v>
      </c>
      <c r="D106" s="1">
        <v>0.21</v>
      </c>
      <c r="E106">
        <v>-1</v>
      </c>
      <c r="F106" t="s">
        <v>59</v>
      </c>
    </row>
    <row r="107" spans="1:6" x14ac:dyDescent="0.3">
      <c r="A107" t="s">
        <v>298</v>
      </c>
      <c r="B107" t="s">
        <v>299</v>
      </c>
      <c r="C107" t="s">
        <v>300</v>
      </c>
      <c r="D107" s="1">
        <v>0.41</v>
      </c>
    </row>
    <row r="108" spans="1:6" x14ac:dyDescent="0.3">
      <c r="A108" t="s">
        <v>301</v>
      </c>
      <c r="B108" t="s">
        <v>302</v>
      </c>
      <c r="C108" t="s">
        <v>303</v>
      </c>
      <c r="D108" s="1">
        <v>0.01</v>
      </c>
    </row>
    <row r="109" spans="1:6" x14ac:dyDescent="0.3">
      <c r="A109" t="s">
        <v>304</v>
      </c>
      <c r="B109" t="s">
        <v>305</v>
      </c>
      <c r="C109" t="s">
        <v>306</v>
      </c>
      <c r="D109" s="1">
        <v>0.24</v>
      </c>
    </row>
    <row r="110" spans="1:6" x14ac:dyDescent="0.3">
      <c r="A110" t="s">
        <v>307</v>
      </c>
      <c r="B110" t="s">
        <v>308</v>
      </c>
      <c r="C110" t="s">
        <v>309</v>
      </c>
      <c r="D110" s="1">
        <v>0.34</v>
      </c>
    </row>
    <row r="111" spans="1:6" x14ac:dyDescent="0.3">
      <c r="A111" t="s">
        <v>310</v>
      </c>
      <c r="B111" t="s">
        <v>146</v>
      </c>
      <c r="C111" t="s">
        <v>311</v>
      </c>
      <c r="D111" s="1">
        <v>0.34</v>
      </c>
    </row>
    <row r="112" spans="1:6" x14ac:dyDescent="0.3">
      <c r="A112" t="s">
        <v>312</v>
      </c>
      <c r="B112" t="s">
        <v>313</v>
      </c>
      <c r="C112" t="s">
        <v>162</v>
      </c>
      <c r="D112" s="1">
        <v>0.02</v>
      </c>
    </row>
    <row r="113" spans="1:6" x14ac:dyDescent="0.3">
      <c r="A113" t="s">
        <v>314</v>
      </c>
      <c r="B113" t="s">
        <v>315</v>
      </c>
      <c r="C113" t="s">
        <v>239</v>
      </c>
      <c r="D113" s="1">
        <v>0.02</v>
      </c>
    </row>
    <row r="114" spans="1:6" x14ac:dyDescent="0.3">
      <c r="A114" t="s">
        <v>316</v>
      </c>
      <c r="B114" t="s">
        <v>155</v>
      </c>
      <c r="C114" t="s">
        <v>317</v>
      </c>
      <c r="D114" s="1">
        <v>0.64</v>
      </c>
    </row>
    <row r="115" spans="1:6" x14ac:dyDescent="0.3">
      <c r="A115" t="s">
        <v>318</v>
      </c>
      <c r="B115" t="s">
        <v>242</v>
      </c>
      <c r="C115" t="s">
        <v>172</v>
      </c>
      <c r="D115" s="1">
        <v>0.5</v>
      </c>
      <c r="E115">
        <v>-1</v>
      </c>
      <c r="F115" t="s">
        <v>319</v>
      </c>
    </row>
    <row r="116" spans="1:6" x14ac:dyDescent="0.3">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B5DEB-9E05-4771-8CDA-9063D7A751B5}">
  <dimension ref="A1:I131"/>
  <sheetViews>
    <sheetView workbookViewId="0">
      <pane ySplit="1" topLeftCell="A115" activePane="bottomLeft" state="frozen"/>
      <selection pane="bottomLeft" activeCell="G117" sqref="G117"/>
    </sheetView>
  </sheetViews>
  <sheetFormatPr defaultRowHeight="14.4" x14ac:dyDescent="0.3"/>
  <cols>
    <col min="1" max="1" width="87.88671875" style="2" bestFit="1" customWidth="1"/>
    <col min="2" max="2" width="16.88671875" style="3" customWidth="1"/>
    <col min="3" max="3" width="13.5546875" style="3" customWidth="1"/>
    <col min="4" max="4" width="19.44140625" style="3" customWidth="1"/>
    <col min="5" max="5" width="11.88671875" style="1" bestFit="1" customWidth="1"/>
    <col min="6" max="6" width="16.33203125" style="1" customWidth="1"/>
    <col min="7" max="7" width="9.88671875" style="3" bestFit="1" customWidth="1"/>
    <col min="8" max="8" width="14.77734375" style="3" customWidth="1"/>
    <col min="9" max="9" width="12.109375" customWidth="1"/>
  </cols>
  <sheetData>
    <row r="1" spans="1:9" s="4" customFormat="1" ht="42.6" thickBot="1" x14ac:dyDescent="0.45">
      <c r="A1" s="18" t="s">
        <v>0</v>
      </c>
      <c r="B1" s="16" t="s">
        <v>325</v>
      </c>
      <c r="C1" s="19" t="s">
        <v>326</v>
      </c>
      <c r="D1" s="16" t="s">
        <v>328</v>
      </c>
      <c r="E1" s="20" t="s">
        <v>3</v>
      </c>
      <c r="F1" s="17" t="s">
        <v>330</v>
      </c>
      <c r="G1" s="19" t="s">
        <v>4</v>
      </c>
      <c r="H1" s="16" t="s">
        <v>327</v>
      </c>
      <c r="I1" s="21" t="s">
        <v>329</v>
      </c>
    </row>
    <row r="2" spans="1:9" x14ac:dyDescent="0.3">
      <c r="A2" s="9" t="s">
        <v>6</v>
      </c>
      <c r="B2" s="3">
        <v>950</v>
      </c>
      <c r="C2" s="3">
        <v>1525</v>
      </c>
      <c r="D2" s="3">
        <f>C2-B2</f>
        <v>575</v>
      </c>
      <c r="E2" s="1">
        <v>0.38</v>
      </c>
      <c r="F2" s="1" t="str">
        <f>IF(E2&gt;=40%,"High discount",IF(E2&gt;=20%,"Medium discount","Low discount"))</f>
        <v>Medium discount</v>
      </c>
      <c r="G2" s="3">
        <v>2</v>
      </c>
      <c r="H2" s="23">
        <v>4.5</v>
      </c>
      <c r="I2" s="10" t="str">
        <f>IF(H2="No Rating","Unrated",IF(H2&gt;=4.5,"Excellent",IF(H2&gt;=3,"Average","Poor")))</f>
        <v>Excellent</v>
      </c>
    </row>
    <row r="3" spans="1:9" x14ac:dyDescent="0.3">
      <c r="A3" s="9" t="s">
        <v>10</v>
      </c>
      <c r="B3" s="3">
        <v>527</v>
      </c>
      <c r="C3" s="3">
        <v>999</v>
      </c>
      <c r="D3" s="3">
        <f t="shared" ref="D3:D66" si="0">C3-B3</f>
        <v>472</v>
      </c>
      <c r="E3" s="1">
        <v>0.47</v>
      </c>
      <c r="F3" s="1" t="str">
        <f t="shared" ref="F3:F66" si="1">IF(E3&gt;=40%,"High discount",IF(E3&gt;=20%,"Medium discount","Low discount"))</f>
        <v>High discount</v>
      </c>
      <c r="G3" s="3">
        <v>14</v>
      </c>
      <c r="H3" s="23">
        <v>4.0999999999999996</v>
      </c>
      <c r="I3" s="10" t="str">
        <f t="shared" ref="I3:I66" si="2">IF(H3="No Rating","Unrated",IF(H3&gt;=4.5,"Excellent",IF(H3&gt;=3,"Average","Poor")))</f>
        <v>Average</v>
      </c>
    </row>
    <row r="4" spans="1:9" x14ac:dyDescent="0.3">
      <c r="A4" s="9" t="s">
        <v>14</v>
      </c>
      <c r="B4" s="3">
        <v>2199</v>
      </c>
      <c r="C4" s="3">
        <v>2923</v>
      </c>
      <c r="D4" s="3">
        <f t="shared" si="0"/>
        <v>724</v>
      </c>
      <c r="E4" s="1">
        <v>0.25</v>
      </c>
      <c r="F4" s="1" t="str">
        <f t="shared" si="1"/>
        <v>Medium discount</v>
      </c>
      <c r="G4" s="3">
        <v>24</v>
      </c>
      <c r="H4" s="23">
        <v>4.5999999999999996</v>
      </c>
      <c r="I4" s="10" t="str">
        <f t="shared" si="2"/>
        <v>Excellent</v>
      </c>
    </row>
    <row r="5" spans="1:9" x14ac:dyDescent="0.3">
      <c r="A5" s="9" t="s">
        <v>18</v>
      </c>
      <c r="B5" s="3">
        <v>1580</v>
      </c>
      <c r="C5" s="3">
        <v>2499</v>
      </c>
      <c r="D5" s="3">
        <f t="shared" si="0"/>
        <v>919</v>
      </c>
      <c r="E5" s="1">
        <v>0.37</v>
      </c>
      <c r="F5" s="1" t="str">
        <f t="shared" si="1"/>
        <v>Medium discount</v>
      </c>
      <c r="G5" s="3">
        <v>7</v>
      </c>
      <c r="H5" s="23">
        <v>4.7</v>
      </c>
      <c r="I5" s="10" t="str">
        <f t="shared" si="2"/>
        <v>Excellent</v>
      </c>
    </row>
    <row r="6" spans="1:9" x14ac:dyDescent="0.3">
      <c r="A6" s="9" t="s">
        <v>22</v>
      </c>
      <c r="B6" s="3">
        <v>1740</v>
      </c>
      <c r="C6" s="3">
        <v>2356</v>
      </c>
      <c r="D6" s="3">
        <f t="shared" si="0"/>
        <v>616</v>
      </c>
      <c r="E6" s="1">
        <v>0.26</v>
      </c>
      <c r="F6" s="1" t="str">
        <f t="shared" si="1"/>
        <v>Medium discount</v>
      </c>
      <c r="G6" s="3">
        <v>5</v>
      </c>
      <c r="H6" s="23">
        <v>4.8</v>
      </c>
      <c r="I6" s="10" t="str">
        <f t="shared" si="2"/>
        <v>Excellent</v>
      </c>
    </row>
    <row r="7" spans="1:9" x14ac:dyDescent="0.3">
      <c r="A7" s="9" t="s">
        <v>26</v>
      </c>
      <c r="B7" s="3">
        <v>2999</v>
      </c>
      <c r="C7" s="3">
        <v>3290</v>
      </c>
      <c r="D7" s="3">
        <f t="shared" si="0"/>
        <v>291</v>
      </c>
      <c r="E7" s="1">
        <v>0.09</v>
      </c>
      <c r="F7" s="1" t="str">
        <f t="shared" si="1"/>
        <v>Low discount</v>
      </c>
      <c r="G7" s="3">
        <v>15</v>
      </c>
      <c r="H7" s="23">
        <v>4</v>
      </c>
      <c r="I7" s="10" t="str">
        <f t="shared" si="2"/>
        <v>Average</v>
      </c>
    </row>
    <row r="8" spans="1:9" x14ac:dyDescent="0.3">
      <c r="A8" s="9" t="s">
        <v>30</v>
      </c>
      <c r="B8" s="3">
        <v>2319</v>
      </c>
      <c r="C8" s="3">
        <v>3032</v>
      </c>
      <c r="D8" s="3">
        <f t="shared" si="0"/>
        <v>713</v>
      </c>
      <c r="E8" s="1">
        <v>0.24</v>
      </c>
      <c r="F8" s="1" t="str">
        <f t="shared" si="1"/>
        <v>Medium discount</v>
      </c>
      <c r="G8" s="3">
        <v>55</v>
      </c>
      <c r="H8" s="23">
        <v>4.5999999999999996</v>
      </c>
      <c r="I8" s="10" t="str">
        <f t="shared" si="2"/>
        <v>Excellent</v>
      </c>
    </row>
    <row r="9" spans="1:9" x14ac:dyDescent="0.3">
      <c r="A9" s="9" t="s">
        <v>33</v>
      </c>
      <c r="B9" s="3">
        <v>988</v>
      </c>
      <c r="C9" s="3">
        <v>1580</v>
      </c>
      <c r="D9" s="3">
        <f t="shared" si="0"/>
        <v>592</v>
      </c>
      <c r="E9" s="1">
        <v>0.37</v>
      </c>
      <c r="F9" s="1" t="str">
        <f t="shared" si="1"/>
        <v>Medium discount</v>
      </c>
      <c r="G9" s="3">
        <v>2</v>
      </c>
      <c r="H9" s="23">
        <v>4</v>
      </c>
      <c r="I9" s="10" t="str">
        <f t="shared" si="2"/>
        <v>Average</v>
      </c>
    </row>
    <row r="10" spans="1:9" x14ac:dyDescent="0.3">
      <c r="A10" s="9" t="s">
        <v>35</v>
      </c>
      <c r="B10" s="3">
        <v>1274</v>
      </c>
      <c r="C10" s="3">
        <v>2800</v>
      </c>
      <c r="D10" s="3">
        <f t="shared" si="0"/>
        <v>1526</v>
      </c>
      <c r="E10" s="1">
        <v>0.55000000000000004</v>
      </c>
      <c r="F10" s="1" t="str">
        <f t="shared" si="1"/>
        <v>High discount</v>
      </c>
      <c r="G10" s="3">
        <v>5</v>
      </c>
      <c r="H10" s="23">
        <v>4.8</v>
      </c>
      <c r="I10" s="10" t="str">
        <f t="shared" si="2"/>
        <v>Excellent</v>
      </c>
    </row>
    <row r="11" spans="1:9" x14ac:dyDescent="0.3">
      <c r="A11" s="9" t="s">
        <v>38</v>
      </c>
      <c r="B11" s="3">
        <v>1600</v>
      </c>
      <c r="C11" s="3">
        <v>2929</v>
      </c>
      <c r="D11" s="3">
        <f t="shared" si="0"/>
        <v>1329</v>
      </c>
      <c r="E11" s="1">
        <v>0.45</v>
      </c>
      <c r="F11" s="1" t="str">
        <f t="shared" si="1"/>
        <v>High discount</v>
      </c>
      <c r="G11" s="3">
        <v>5</v>
      </c>
      <c r="H11" s="23">
        <v>3.8</v>
      </c>
      <c r="I11" s="10" t="str">
        <f t="shared" si="2"/>
        <v>Average</v>
      </c>
    </row>
    <row r="12" spans="1:9" x14ac:dyDescent="0.3">
      <c r="A12" s="9" t="s">
        <v>42</v>
      </c>
      <c r="B12" s="3">
        <v>799</v>
      </c>
      <c r="C12" s="3">
        <v>999</v>
      </c>
      <c r="D12" s="3">
        <f t="shared" si="0"/>
        <v>200</v>
      </c>
      <c r="E12" s="1">
        <v>0.2</v>
      </c>
      <c r="F12" s="1" t="str">
        <f t="shared" si="1"/>
        <v>Medium discount</v>
      </c>
      <c r="G12" s="3">
        <v>12</v>
      </c>
      <c r="H12" s="23">
        <v>4.0999999999999996</v>
      </c>
      <c r="I12" s="10" t="str">
        <f t="shared" si="2"/>
        <v>Average</v>
      </c>
    </row>
    <row r="13" spans="1:9" x14ac:dyDescent="0.3">
      <c r="A13" s="9" t="s">
        <v>44</v>
      </c>
      <c r="B13" s="3">
        <v>990</v>
      </c>
      <c r="C13" s="3">
        <v>1500</v>
      </c>
      <c r="D13" s="3">
        <f t="shared" si="0"/>
        <v>510</v>
      </c>
      <c r="E13" s="1">
        <v>0.34</v>
      </c>
      <c r="F13" s="1" t="str">
        <f t="shared" si="1"/>
        <v>Medium discount</v>
      </c>
      <c r="G13" s="3">
        <v>39</v>
      </c>
      <c r="H13" s="23">
        <v>4.7</v>
      </c>
      <c r="I13" s="10" t="str">
        <f t="shared" si="2"/>
        <v>Excellent</v>
      </c>
    </row>
    <row r="14" spans="1:9" x14ac:dyDescent="0.3">
      <c r="A14" s="9" t="s">
        <v>47</v>
      </c>
      <c r="B14" s="3">
        <v>552</v>
      </c>
      <c r="C14" s="3">
        <v>1035</v>
      </c>
      <c r="D14" s="3">
        <f t="shared" si="0"/>
        <v>483</v>
      </c>
      <c r="E14" s="1">
        <v>0.47</v>
      </c>
      <c r="F14" s="1" t="str">
        <f t="shared" si="1"/>
        <v>High discount</v>
      </c>
      <c r="G14" s="3">
        <v>12</v>
      </c>
      <c r="H14" s="23">
        <v>4.8</v>
      </c>
      <c r="I14" s="10" t="str">
        <f t="shared" si="2"/>
        <v>Excellent</v>
      </c>
    </row>
    <row r="15" spans="1:9" x14ac:dyDescent="0.3">
      <c r="A15" s="9" t="s">
        <v>50</v>
      </c>
      <c r="B15" s="3">
        <v>501</v>
      </c>
      <c r="C15" s="3">
        <v>860</v>
      </c>
      <c r="D15" s="3">
        <f t="shared" si="0"/>
        <v>359</v>
      </c>
      <c r="E15" s="1">
        <v>0.42</v>
      </c>
      <c r="F15" s="1" t="str">
        <f t="shared" si="1"/>
        <v>High discount</v>
      </c>
      <c r="G15" s="3">
        <v>6</v>
      </c>
      <c r="H15" s="23">
        <v>4.5</v>
      </c>
      <c r="I15" s="10" t="str">
        <f t="shared" si="2"/>
        <v>Excellent</v>
      </c>
    </row>
    <row r="16" spans="1:9" x14ac:dyDescent="0.3">
      <c r="A16" s="9" t="s">
        <v>53</v>
      </c>
      <c r="B16" s="3">
        <v>1680</v>
      </c>
      <c r="C16" s="3">
        <v>2499</v>
      </c>
      <c r="D16" s="3">
        <f t="shared" si="0"/>
        <v>819</v>
      </c>
      <c r="E16" s="1">
        <v>0.33</v>
      </c>
      <c r="F16" s="1" t="str">
        <f t="shared" si="1"/>
        <v>Medium discount</v>
      </c>
      <c r="G16" s="3">
        <v>9</v>
      </c>
      <c r="H16" s="23">
        <v>4.2</v>
      </c>
      <c r="I16" s="10" t="str">
        <f t="shared" si="2"/>
        <v>Average</v>
      </c>
    </row>
    <row r="17" spans="1:9" x14ac:dyDescent="0.3">
      <c r="A17" s="9" t="s">
        <v>56</v>
      </c>
      <c r="B17" s="3">
        <v>332</v>
      </c>
      <c r="C17" s="3">
        <v>684</v>
      </c>
      <c r="D17" s="3">
        <f t="shared" si="0"/>
        <v>352</v>
      </c>
      <c r="E17" s="1">
        <v>0.51</v>
      </c>
      <c r="F17" s="1" t="str">
        <f t="shared" si="1"/>
        <v>High discount</v>
      </c>
      <c r="G17" s="3">
        <v>2</v>
      </c>
      <c r="H17" s="23">
        <v>5</v>
      </c>
      <c r="I17" s="10" t="str">
        <f t="shared" si="2"/>
        <v>Excellent</v>
      </c>
    </row>
    <row r="18" spans="1:9" x14ac:dyDescent="0.3">
      <c r="A18" s="9" t="s">
        <v>60</v>
      </c>
      <c r="B18" s="3">
        <v>195</v>
      </c>
      <c r="C18" s="3">
        <v>360</v>
      </c>
      <c r="D18" s="3">
        <f t="shared" si="0"/>
        <v>165</v>
      </c>
      <c r="E18" s="1">
        <v>0.46</v>
      </c>
      <c r="F18" s="1" t="str">
        <f t="shared" si="1"/>
        <v>High discount</v>
      </c>
      <c r="G18" s="3">
        <v>2</v>
      </c>
      <c r="H18" s="23">
        <v>5</v>
      </c>
      <c r="I18" s="10" t="str">
        <f t="shared" si="2"/>
        <v>Excellent</v>
      </c>
    </row>
    <row r="19" spans="1:9" x14ac:dyDescent="0.3">
      <c r="A19" s="9" t="s">
        <v>63</v>
      </c>
      <c r="B19" s="3">
        <v>2025</v>
      </c>
      <c r="C19" s="3">
        <v>3971</v>
      </c>
      <c r="D19" s="3">
        <f t="shared" si="0"/>
        <v>1946</v>
      </c>
      <c r="E19" s="1">
        <v>0.49</v>
      </c>
      <c r="F19" s="1" t="str">
        <f t="shared" si="1"/>
        <v>High discount</v>
      </c>
      <c r="G19" s="3">
        <v>3</v>
      </c>
      <c r="H19" s="23">
        <v>5</v>
      </c>
      <c r="I19" s="10" t="str">
        <f t="shared" si="2"/>
        <v>Excellent</v>
      </c>
    </row>
    <row r="20" spans="1:9" x14ac:dyDescent="0.3">
      <c r="A20" s="9" t="s">
        <v>66</v>
      </c>
      <c r="B20" s="3">
        <v>2999</v>
      </c>
      <c r="C20" s="3">
        <v>3699</v>
      </c>
      <c r="D20" s="3">
        <f t="shared" si="0"/>
        <v>700</v>
      </c>
      <c r="E20" s="1">
        <v>0.19</v>
      </c>
      <c r="F20" s="1" t="str">
        <f t="shared" si="1"/>
        <v>Low discount</v>
      </c>
      <c r="G20" s="3">
        <v>5</v>
      </c>
      <c r="H20" s="23">
        <v>4.5999999999999996</v>
      </c>
      <c r="I20" s="10" t="str">
        <f t="shared" si="2"/>
        <v>Excellent</v>
      </c>
    </row>
    <row r="21" spans="1:9" x14ac:dyDescent="0.3">
      <c r="A21" s="9" t="s">
        <v>68</v>
      </c>
      <c r="B21" s="3">
        <v>998</v>
      </c>
      <c r="C21" s="3">
        <v>1966</v>
      </c>
      <c r="D21" s="3">
        <f t="shared" si="0"/>
        <v>968</v>
      </c>
      <c r="E21" s="1">
        <v>0.49</v>
      </c>
      <c r="F21" s="1" t="str">
        <f t="shared" si="1"/>
        <v>High discount</v>
      </c>
      <c r="G21" s="3">
        <v>44</v>
      </c>
      <c r="H21" s="23">
        <v>4.5999999999999996</v>
      </c>
      <c r="I21" s="10" t="str">
        <f t="shared" si="2"/>
        <v>Excellent</v>
      </c>
    </row>
    <row r="22" spans="1:9" x14ac:dyDescent="0.3">
      <c r="A22" s="9" t="s">
        <v>71</v>
      </c>
      <c r="B22" s="3">
        <v>38</v>
      </c>
      <c r="C22" s="3">
        <v>80</v>
      </c>
      <c r="D22" s="3">
        <f t="shared" si="0"/>
        <v>42</v>
      </c>
      <c r="E22" s="1">
        <v>0.53</v>
      </c>
      <c r="F22" s="1" t="str">
        <f t="shared" si="1"/>
        <v>High discount</v>
      </c>
      <c r="G22" s="3">
        <v>13</v>
      </c>
      <c r="H22" s="23">
        <v>3.3</v>
      </c>
      <c r="I22" s="10" t="str">
        <f t="shared" si="2"/>
        <v>Average</v>
      </c>
    </row>
    <row r="23" spans="1:9" x14ac:dyDescent="0.3">
      <c r="A23" s="9" t="s">
        <v>75</v>
      </c>
      <c r="B23" s="3">
        <v>1860</v>
      </c>
      <c r="C23" s="3">
        <v>3220</v>
      </c>
      <c r="D23" s="3">
        <f t="shared" si="0"/>
        <v>1360</v>
      </c>
      <c r="E23" s="1">
        <v>0.42</v>
      </c>
      <c r="F23" s="1" t="str">
        <f t="shared" si="1"/>
        <v>High discount</v>
      </c>
      <c r="G23" s="3" t="s">
        <v>323</v>
      </c>
      <c r="H23" s="23" t="s">
        <v>324</v>
      </c>
      <c r="I23" s="10" t="str">
        <f t="shared" si="2"/>
        <v>Unrated</v>
      </c>
    </row>
    <row r="24" spans="1:9" x14ac:dyDescent="0.3">
      <c r="A24" s="9" t="s">
        <v>78</v>
      </c>
      <c r="B24" s="3">
        <v>880</v>
      </c>
      <c r="C24" s="3">
        <v>1350</v>
      </c>
      <c r="D24" s="3">
        <f t="shared" si="0"/>
        <v>470</v>
      </c>
      <c r="E24" s="1">
        <v>0.35</v>
      </c>
      <c r="F24" s="1" t="str">
        <f t="shared" si="1"/>
        <v>Medium discount</v>
      </c>
      <c r="G24" s="3">
        <v>6</v>
      </c>
      <c r="H24" s="23">
        <v>4</v>
      </c>
      <c r="I24" s="10" t="str">
        <f t="shared" si="2"/>
        <v>Average</v>
      </c>
    </row>
    <row r="25" spans="1:9" x14ac:dyDescent="0.3">
      <c r="A25" s="9" t="s">
        <v>81</v>
      </c>
      <c r="B25" s="3">
        <v>1650</v>
      </c>
      <c r="C25" s="3">
        <v>2150</v>
      </c>
      <c r="D25" s="3">
        <f t="shared" si="0"/>
        <v>500</v>
      </c>
      <c r="E25" s="1">
        <v>0.23</v>
      </c>
      <c r="F25" s="1" t="str">
        <f t="shared" si="1"/>
        <v>Medium discount</v>
      </c>
      <c r="G25" s="3">
        <v>14</v>
      </c>
      <c r="H25" s="23">
        <v>4.4000000000000004</v>
      </c>
      <c r="I25" s="10" t="str">
        <f t="shared" si="2"/>
        <v>Average</v>
      </c>
    </row>
    <row r="26" spans="1:9" x14ac:dyDescent="0.3">
      <c r="A26" s="9" t="s">
        <v>85</v>
      </c>
      <c r="B26" s="3">
        <v>2048</v>
      </c>
      <c r="C26" s="3">
        <v>4500</v>
      </c>
      <c r="D26" s="3">
        <f t="shared" si="0"/>
        <v>2452</v>
      </c>
      <c r="E26" s="1">
        <v>0.54</v>
      </c>
      <c r="F26" s="1" t="str">
        <f t="shared" si="1"/>
        <v>High discount</v>
      </c>
      <c r="G26" s="3">
        <v>7</v>
      </c>
      <c r="H26" s="23">
        <v>4.3</v>
      </c>
      <c r="I26" s="10" t="str">
        <f t="shared" si="2"/>
        <v>Average</v>
      </c>
    </row>
    <row r="27" spans="1:9" x14ac:dyDescent="0.3">
      <c r="A27" s="9" t="s">
        <v>89</v>
      </c>
      <c r="B27" s="3">
        <v>420</v>
      </c>
      <c r="C27" s="3">
        <v>647</v>
      </c>
      <c r="D27" s="3">
        <f t="shared" si="0"/>
        <v>227</v>
      </c>
      <c r="E27" s="1">
        <v>0.35</v>
      </c>
      <c r="F27" s="1" t="str">
        <f t="shared" si="1"/>
        <v>Medium discount</v>
      </c>
      <c r="G27" s="3">
        <v>49</v>
      </c>
      <c r="H27" s="23">
        <v>4.5999999999999996</v>
      </c>
      <c r="I27" s="10" t="str">
        <f t="shared" si="2"/>
        <v>Excellent</v>
      </c>
    </row>
    <row r="28" spans="1:9" x14ac:dyDescent="0.3">
      <c r="A28" s="9" t="s">
        <v>92</v>
      </c>
      <c r="B28" s="3">
        <v>2880</v>
      </c>
      <c r="C28" s="3">
        <v>3520</v>
      </c>
      <c r="D28" s="3">
        <f t="shared" si="0"/>
        <v>640</v>
      </c>
      <c r="E28" s="1">
        <v>0.18</v>
      </c>
      <c r="F28" s="1" t="str">
        <f t="shared" si="1"/>
        <v>Low discount</v>
      </c>
      <c r="G28" s="3">
        <v>12</v>
      </c>
      <c r="H28" s="23">
        <v>3.8</v>
      </c>
      <c r="I28" s="10" t="str">
        <f t="shared" si="2"/>
        <v>Average</v>
      </c>
    </row>
    <row r="29" spans="1:9" x14ac:dyDescent="0.3">
      <c r="A29" s="9" t="s">
        <v>95</v>
      </c>
      <c r="B29" s="3">
        <v>1350</v>
      </c>
      <c r="C29" s="3">
        <v>1990</v>
      </c>
      <c r="D29" s="3">
        <f t="shared" si="0"/>
        <v>640</v>
      </c>
      <c r="E29" s="1">
        <v>0.32</v>
      </c>
      <c r="F29" s="1" t="str">
        <f t="shared" si="1"/>
        <v>Medium discount</v>
      </c>
      <c r="G29" s="3">
        <v>13</v>
      </c>
      <c r="H29" s="23">
        <v>3.8</v>
      </c>
      <c r="I29" s="10" t="str">
        <f t="shared" si="2"/>
        <v>Average</v>
      </c>
    </row>
    <row r="30" spans="1:9" x14ac:dyDescent="0.3">
      <c r="A30" s="9" t="s">
        <v>97</v>
      </c>
      <c r="B30" s="3">
        <v>1758</v>
      </c>
      <c r="C30" s="3">
        <v>2499</v>
      </c>
      <c r="D30" s="3">
        <f t="shared" si="0"/>
        <v>741</v>
      </c>
      <c r="E30" s="1">
        <v>0.3</v>
      </c>
      <c r="F30" s="1" t="str">
        <f t="shared" si="1"/>
        <v>Medium discount</v>
      </c>
      <c r="G30" s="3">
        <v>20</v>
      </c>
      <c r="H30" s="23">
        <v>4.0999999999999996</v>
      </c>
      <c r="I30" s="10" t="str">
        <f t="shared" si="2"/>
        <v>Average</v>
      </c>
    </row>
    <row r="31" spans="1:9" x14ac:dyDescent="0.3">
      <c r="A31" s="9" t="s">
        <v>99</v>
      </c>
      <c r="B31" s="3">
        <v>2200</v>
      </c>
      <c r="C31" s="3">
        <v>4080</v>
      </c>
      <c r="D31" s="3">
        <f t="shared" si="0"/>
        <v>1880</v>
      </c>
      <c r="E31" s="1">
        <v>0.46</v>
      </c>
      <c r="F31" s="1" t="str">
        <f t="shared" si="1"/>
        <v>High discount</v>
      </c>
      <c r="G31" s="3" t="s">
        <v>323</v>
      </c>
      <c r="H31" s="23" t="s">
        <v>324</v>
      </c>
      <c r="I31" s="10" t="str">
        <f t="shared" si="2"/>
        <v>Unrated</v>
      </c>
    </row>
    <row r="32" spans="1:9" x14ac:dyDescent="0.3">
      <c r="A32" s="9" t="s">
        <v>102</v>
      </c>
      <c r="B32" s="3">
        <v>185</v>
      </c>
      <c r="C32" s="3">
        <v>382</v>
      </c>
      <c r="D32" s="3">
        <f t="shared" si="0"/>
        <v>197</v>
      </c>
      <c r="E32" s="1">
        <v>0.52</v>
      </c>
      <c r="F32" s="1" t="str">
        <f t="shared" si="1"/>
        <v>High discount</v>
      </c>
      <c r="G32" s="3">
        <v>9</v>
      </c>
      <c r="H32" s="23">
        <v>4.3</v>
      </c>
      <c r="I32" s="10" t="str">
        <f t="shared" si="2"/>
        <v>Average</v>
      </c>
    </row>
    <row r="33" spans="1:9" x14ac:dyDescent="0.3">
      <c r="A33" s="9" t="s">
        <v>105</v>
      </c>
      <c r="B33" s="3">
        <v>980</v>
      </c>
      <c r="C33" s="3">
        <v>1490</v>
      </c>
      <c r="D33" s="3">
        <f t="shared" si="0"/>
        <v>510</v>
      </c>
      <c r="E33" s="1">
        <v>0.34</v>
      </c>
      <c r="F33" s="1" t="str">
        <f t="shared" si="1"/>
        <v>Medium discount</v>
      </c>
      <c r="G33" s="3">
        <v>12</v>
      </c>
      <c r="H33" s="23">
        <v>4.7</v>
      </c>
      <c r="I33" s="10" t="str">
        <f t="shared" si="2"/>
        <v>Excellent</v>
      </c>
    </row>
    <row r="34" spans="1:9" x14ac:dyDescent="0.3">
      <c r="A34" s="9" t="s">
        <v>108</v>
      </c>
      <c r="B34" s="3">
        <v>1820</v>
      </c>
      <c r="C34" s="3">
        <v>3490</v>
      </c>
      <c r="D34" s="3">
        <f t="shared" si="0"/>
        <v>1670</v>
      </c>
      <c r="E34" s="1">
        <v>0.48</v>
      </c>
      <c r="F34" s="1" t="str">
        <f t="shared" si="1"/>
        <v>High discount</v>
      </c>
      <c r="G34" s="3">
        <v>9</v>
      </c>
      <c r="H34" s="23">
        <v>4.3</v>
      </c>
      <c r="I34" s="10" t="str">
        <f t="shared" si="2"/>
        <v>Average</v>
      </c>
    </row>
    <row r="35" spans="1:9" x14ac:dyDescent="0.3">
      <c r="A35" s="9" t="s">
        <v>111</v>
      </c>
      <c r="B35" s="3">
        <v>1940</v>
      </c>
      <c r="C35" s="3">
        <v>2650</v>
      </c>
      <c r="D35" s="3">
        <f t="shared" si="0"/>
        <v>710</v>
      </c>
      <c r="E35" s="1">
        <v>0.27</v>
      </c>
      <c r="F35" s="1" t="str">
        <f t="shared" si="1"/>
        <v>Medium discount</v>
      </c>
      <c r="G35" s="3">
        <v>20</v>
      </c>
      <c r="H35" s="23">
        <v>4.7</v>
      </c>
      <c r="I35" s="10" t="str">
        <f t="shared" si="2"/>
        <v>Excellent</v>
      </c>
    </row>
    <row r="36" spans="1:9" x14ac:dyDescent="0.3">
      <c r="A36" s="9" t="s">
        <v>114</v>
      </c>
      <c r="B36" s="3">
        <v>1980</v>
      </c>
      <c r="C36" s="3">
        <v>2699</v>
      </c>
      <c r="D36" s="3">
        <f t="shared" si="0"/>
        <v>719</v>
      </c>
      <c r="E36" s="1">
        <v>0.27</v>
      </c>
      <c r="F36" s="1" t="str">
        <f t="shared" si="1"/>
        <v>Medium discount</v>
      </c>
      <c r="G36" s="3">
        <v>32</v>
      </c>
      <c r="H36" s="23">
        <v>4.5</v>
      </c>
      <c r="I36" s="10" t="str">
        <f t="shared" si="2"/>
        <v>Excellent</v>
      </c>
    </row>
    <row r="37" spans="1:9" x14ac:dyDescent="0.3">
      <c r="A37" s="9" t="s">
        <v>117</v>
      </c>
      <c r="B37" s="3">
        <v>1620</v>
      </c>
      <c r="C37" s="3">
        <v>2690</v>
      </c>
      <c r="D37" s="3">
        <f t="shared" si="0"/>
        <v>1070</v>
      </c>
      <c r="E37" s="1">
        <v>0.4</v>
      </c>
      <c r="F37" s="1" t="str">
        <f t="shared" si="1"/>
        <v>High discount</v>
      </c>
      <c r="G37" s="3">
        <v>1</v>
      </c>
      <c r="H37" s="23">
        <v>5</v>
      </c>
      <c r="I37" s="10" t="str">
        <f t="shared" si="2"/>
        <v>Excellent</v>
      </c>
    </row>
    <row r="38" spans="1:9" x14ac:dyDescent="0.3">
      <c r="A38" s="9" t="s">
        <v>120</v>
      </c>
      <c r="B38" s="3">
        <v>171</v>
      </c>
      <c r="C38" s="3">
        <v>360</v>
      </c>
      <c r="D38" s="3">
        <f t="shared" si="0"/>
        <v>189</v>
      </c>
      <c r="E38" s="1">
        <v>0.53</v>
      </c>
      <c r="F38" s="1" t="str">
        <f t="shared" si="1"/>
        <v>High discount</v>
      </c>
      <c r="G38" s="3">
        <v>2</v>
      </c>
      <c r="H38" s="23">
        <v>5</v>
      </c>
      <c r="I38" s="10" t="str">
        <f t="shared" si="2"/>
        <v>Excellent</v>
      </c>
    </row>
    <row r="39" spans="1:9" x14ac:dyDescent="0.3">
      <c r="A39" s="9" t="s">
        <v>122</v>
      </c>
      <c r="B39" s="3">
        <v>389</v>
      </c>
      <c r="C39" s="3">
        <v>656</v>
      </c>
      <c r="D39" s="3">
        <f t="shared" si="0"/>
        <v>267</v>
      </c>
      <c r="E39" s="1">
        <v>0.41</v>
      </c>
      <c r="F39" s="1" t="str">
        <f t="shared" si="1"/>
        <v>High discount</v>
      </c>
      <c r="G39" s="3">
        <v>36</v>
      </c>
      <c r="H39" s="23">
        <v>4.3</v>
      </c>
      <c r="I39" s="10" t="str">
        <f t="shared" si="2"/>
        <v>Average</v>
      </c>
    </row>
    <row r="40" spans="1:9" x14ac:dyDescent="0.3">
      <c r="A40" s="9" t="s">
        <v>125</v>
      </c>
      <c r="B40" s="3">
        <v>1800</v>
      </c>
      <c r="C40" s="3">
        <v>2700</v>
      </c>
      <c r="D40" s="3">
        <f t="shared" si="0"/>
        <v>900</v>
      </c>
      <c r="E40" s="1">
        <v>0.38</v>
      </c>
      <c r="F40" s="1" t="str">
        <f t="shared" si="1"/>
        <v>Medium discount</v>
      </c>
      <c r="G40" s="3">
        <v>2</v>
      </c>
      <c r="H40" s="23">
        <v>4.5</v>
      </c>
      <c r="I40" s="10" t="str">
        <f t="shared" si="2"/>
        <v>Excellent</v>
      </c>
    </row>
    <row r="41" spans="1:9" x14ac:dyDescent="0.3">
      <c r="A41" s="9" t="s">
        <v>128</v>
      </c>
      <c r="B41" s="3">
        <v>2750</v>
      </c>
      <c r="C41" s="3">
        <v>4471</v>
      </c>
      <c r="D41" s="3">
        <f t="shared" si="0"/>
        <v>1721</v>
      </c>
      <c r="E41" s="1">
        <v>0.38</v>
      </c>
      <c r="F41" s="1" t="str">
        <f t="shared" si="1"/>
        <v>Medium discount</v>
      </c>
      <c r="G41" s="3" t="s">
        <v>323</v>
      </c>
      <c r="H41" s="23" t="s">
        <v>324</v>
      </c>
      <c r="I41" s="10" t="str">
        <f t="shared" si="2"/>
        <v>Unrated</v>
      </c>
    </row>
    <row r="42" spans="1:9" x14ac:dyDescent="0.3">
      <c r="A42" s="9" t="s">
        <v>131</v>
      </c>
      <c r="B42" s="3">
        <v>475</v>
      </c>
      <c r="C42" s="3">
        <v>931</v>
      </c>
      <c r="D42" s="3">
        <f t="shared" si="0"/>
        <v>456</v>
      </c>
      <c r="E42" s="1">
        <v>0.49</v>
      </c>
      <c r="F42" s="1" t="str">
        <f t="shared" si="1"/>
        <v>High discount</v>
      </c>
      <c r="G42" s="3" t="s">
        <v>323</v>
      </c>
      <c r="H42" s="23" t="s">
        <v>324</v>
      </c>
      <c r="I42" s="10" t="str">
        <f t="shared" si="2"/>
        <v>Unrated</v>
      </c>
    </row>
    <row r="43" spans="1:9" x14ac:dyDescent="0.3">
      <c r="A43" s="9" t="s">
        <v>134</v>
      </c>
      <c r="B43" s="3">
        <v>238</v>
      </c>
      <c r="C43" s="3">
        <v>476</v>
      </c>
      <c r="D43" s="3">
        <f t="shared" si="0"/>
        <v>238</v>
      </c>
      <c r="E43" s="1">
        <v>0.5</v>
      </c>
      <c r="F43" s="1" t="str">
        <f t="shared" si="1"/>
        <v>High discount</v>
      </c>
      <c r="G43" s="3" t="s">
        <v>323</v>
      </c>
      <c r="H43" s="23" t="s">
        <v>324</v>
      </c>
      <c r="I43" s="10" t="str">
        <f t="shared" si="2"/>
        <v>Unrated</v>
      </c>
    </row>
    <row r="44" spans="1:9" x14ac:dyDescent="0.3">
      <c r="A44" s="9" t="s">
        <v>137</v>
      </c>
      <c r="B44" s="3">
        <v>610</v>
      </c>
      <c r="C44" s="3">
        <v>1060</v>
      </c>
      <c r="D44" s="3">
        <f t="shared" si="0"/>
        <v>450</v>
      </c>
      <c r="E44" s="1">
        <v>0.42</v>
      </c>
      <c r="F44" s="1" t="str">
        <f t="shared" si="1"/>
        <v>High discount</v>
      </c>
      <c r="G44" s="3" t="s">
        <v>323</v>
      </c>
      <c r="H44" s="23" t="s">
        <v>324</v>
      </c>
      <c r="I44" s="10" t="str">
        <f t="shared" si="2"/>
        <v>Unrated</v>
      </c>
    </row>
    <row r="45" spans="1:9" x14ac:dyDescent="0.3">
      <c r="A45" s="9" t="s">
        <v>140</v>
      </c>
      <c r="B45" s="3">
        <v>2132</v>
      </c>
      <c r="C45" s="3">
        <v>2169</v>
      </c>
      <c r="D45" s="3">
        <f t="shared" si="0"/>
        <v>37</v>
      </c>
      <c r="E45" s="1">
        <v>0.02</v>
      </c>
      <c r="F45" s="1" t="str">
        <f t="shared" si="1"/>
        <v>Low discount</v>
      </c>
      <c r="G45" s="3" t="s">
        <v>323</v>
      </c>
      <c r="H45" s="23" t="s">
        <v>324</v>
      </c>
      <c r="I45" s="10" t="str">
        <f t="shared" si="2"/>
        <v>Unrated</v>
      </c>
    </row>
    <row r="46" spans="1:9" x14ac:dyDescent="0.3">
      <c r="A46" s="9" t="s">
        <v>143</v>
      </c>
      <c r="B46" s="3">
        <v>999</v>
      </c>
      <c r="C46" s="3">
        <v>2000</v>
      </c>
      <c r="D46" s="3">
        <f t="shared" si="0"/>
        <v>1001</v>
      </c>
      <c r="E46" s="1">
        <v>0.5</v>
      </c>
      <c r="F46" s="1" t="str">
        <f t="shared" si="1"/>
        <v>High discount</v>
      </c>
      <c r="G46" s="3" t="s">
        <v>323</v>
      </c>
      <c r="H46" s="23" t="s">
        <v>324</v>
      </c>
      <c r="I46" s="10" t="str">
        <f t="shared" si="2"/>
        <v>Unrated</v>
      </c>
    </row>
    <row r="47" spans="1:9" x14ac:dyDescent="0.3">
      <c r="A47" s="9" t="s">
        <v>145</v>
      </c>
      <c r="B47" s="3">
        <v>1190</v>
      </c>
      <c r="C47" s="3">
        <v>1785</v>
      </c>
      <c r="D47" s="3">
        <f t="shared" si="0"/>
        <v>595</v>
      </c>
      <c r="E47" s="1">
        <v>0.33</v>
      </c>
      <c r="F47" s="1" t="str">
        <f t="shared" si="1"/>
        <v>Medium discount</v>
      </c>
      <c r="G47" s="3" t="s">
        <v>323</v>
      </c>
      <c r="H47" s="23" t="s">
        <v>324</v>
      </c>
      <c r="I47" s="10" t="str">
        <f t="shared" si="2"/>
        <v>Unrated</v>
      </c>
    </row>
    <row r="48" spans="1:9" x14ac:dyDescent="0.3">
      <c r="A48" s="9" t="s">
        <v>148</v>
      </c>
      <c r="B48" s="3">
        <v>671</v>
      </c>
      <c r="C48" s="3">
        <v>1316</v>
      </c>
      <c r="D48" s="3">
        <f t="shared" si="0"/>
        <v>645</v>
      </c>
      <c r="E48" s="1">
        <v>0.49</v>
      </c>
      <c r="F48" s="1" t="str">
        <f t="shared" si="1"/>
        <v>High discount</v>
      </c>
      <c r="G48" s="3" t="s">
        <v>323</v>
      </c>
      <c r="H48" s="23" t="s">
        <v>324</v>
      </c>
      <c r="I48" s="10" t="str">
        <f t="shared" si="2"/>
        <v>Unrated</v>
      </c>
    </row>
    <row r="49" spans="1:9" x14ac:dyDescent="0.3">
      <c r="A49" s="9" t="s">
        <v>151</v>
      </c>
      <c r="B49" s="3">
        <v>1200</v>
      </c>
      <c r="C49" s="3">
        <v>1950</v>
      </c>
      <c r="D49" s="3">
        <f t="shared" si="0"/>
        <v>750</v>
      </c>
      <c r="E49" s="1">
        <v>0.38</v>
      </c>
      <c r="F49" s="1" t="str">
        <f t="shared" si="1"/>
        <v>Medium discount</v>
      </c>
      <c r="G49" s="3" t="s">
        <v>323</v>
      </c>
      <c r="H49" s="23" t="s">
        <v>324</v>
      </c>
      <c r="I49" s="10" t="str">
        <f t="shared" si="2"/>
        <v>Unrated</v>
      </c>
    </row>
    <row r="50" spans="1:9" x14ac:dyDescent="0.3">
      <c r="A50" s="9" t="s">
        <v>154</v>
      </c>
      <c r="B50" s="3">
        <v>199</v>
      </c>
      <c r="C50" s="3">
        <v>504</v>
      </c>
      <c r="D50" s="3">
        <f t="shared" si="0"/>
        <v>305</v>
      </c>
      <c r="E50" s="1">
        <v>0.61</v>
      </c>
      <c r="F50" s="1" t="str">
        <f t="shared" si="1"/>
        <v>High discount</v>
      </c>
      <c r="G50" s="3" t="s">
        <v>323</v>
      </c>
      <c r="H50" s="23" t="s">
        <v>324</v>
      </c>
      <c r="I50" s="10" t="str">
        <f t="shared" si="2"/>
        <v>Unrated</v>
      </c>
    </row>
    <row r="51" spans="1:9" x14ac:dyDescent="0.3">
      <c r="A51" s="9" t="s">
        <v>157</v>
      </c>
      <c r="B51" s="3">
        <v>299</v>
      </c>
      <c r="C51" s="3">
        <v>600</v>
      </c>
      <c r="D51" s="3">
        <f t="shared" si="0"/>
        <v>301</v>
      </c>
      <c r="E51" s="1">
        <v>0.5</v>
      </c>
      <c r="F51" s="1" t="str">
        <f t="shared" si="1"/>
        <v>High discount</v>
      </c>
      <c r="G51" s="3" t="s">
        <v>323</v>
      </c>
      <c r="H51" s="23" t="s">
        <v>324</v>
      </c>
      <c r="I51" s="10" t="str">
        <f t="shared" si="2"/>
        <v>Unrated</v>
      </c>
    </row>
    <row r="52" spans="1:9" x14ac:dyDescent="0.3">
      <c r="A52" s="9" t="s">
        <v>160</v>
      </c>
      <c r="B52" s="3">
        <v>1660</v>
      </c>
      <c r="C52" s="3">
        <v>1699</v>
      </c>
      <c r="D52" s="3">
        <f t="shared" si="0"/>
        <v>39</v>
      </c>
      <c r="E52" s="1">
        <v>0.02</v>
      </c>
      <c r="F52" s="1" t="str">
        <f t="shared" si="1"/>
        <v>Low discount</v>
      </c>
      <c r="G52" s="3" t="s">
        <v>323</v>
      </c>
      <c r="H52" s="23" t="s">
        <v>324</v>
      </c>
      <c r="I52" s="10" t="str">
        <f t="shared" si="2"/>
        <v>Unrated</v>
      </c>
    </row>
    <row r="53" spans="1:9" x14ac:dyDescent="0.3">
      <c r="A53" s="9" t="s">
        <v>163</v>
      </c>
      <c r="B53" s="3">
        <v>299</v>
      </c>
      <c r="C53" s="3">
        <v>384</v>
      </c>
      <c r="D53" s="3">
        <f t="shared" si="0"/>
        <v>85</v>
      </c>
      <c r="E53" s="1">
        <v>0.22</v>
      </c>
      <c r="F53" s="1" t="str">
        <f t="shared" si="1"/>
        <v>Medium discount</v>
      </c>
      <c r="G53" s="3" t="s">
        <v>323</v>
      </c>
      <c r="H53" s="23" t="s">
        <v>324</v>
      </c>
      <c r="I53" s="10" t="str">
        <f t="shared" si="2"/>
        <v>Unrated</v>
      </c>
    </row>
    <row r="54" spans="1:9" x14ac:dyDescent="0.3">
      <c r="A54" s="9" t="s">
        <v>165</v>
      </c>
      <c r="B54" s="3">
        <v>1459</v>
      </c>
      <c r="C54" s="3">
        <v>1499</v>
      </c>
      <c r="D54" s="3">
        <f t="shared" si="0"/>
        <v>40</v>
      </c>
      <c r="E54" s="1">
        <v>0.03</v>
      </c>
      <c r="F54" s="1" t="str">
        <f t="shared" si="1"/>
        <v>Low discount</v>
      </c>
      <c r="G54" s="3" t="s">
        <v>323</v>
      </c>
      <c r="H54" s="23" t="s">
        <v>324</v>
      </c>
      <c r="I54" s="10" t="str">
        <f t="shared" si="2"/>
        <v>Unrated</v>
      </c>
    </row>
    <row r="55" spans="1:9" x14ac:dyDescent="0.3">
      <c r="A55" s="9" t="s">
        <v>168</v>
      </c>
      <c r="B55" s="3">
        <v>799</v>
      </c>
      <c r="C55" s="3">
        <v>1343</v>
      </c>
      <c r="D55" s="3">
        <f t="shared" si="0"/>
        <v>544</v>
      </c>
      <c r="E55" s="1">
        <v>0.41</v>
      </c>
      <c r="F55" s="1" t="str">
        <f t="shared" si="1"/>
        <v>High discount</v>
      </c>
      <c r="G55" s="3" t="s">
        <v>323</v>
      </c>
      <c r="H55" s="23" t="s">
        <v>324</v>
      </c>
      <c r="I55" s="10" t="str">
        <f t="shared" si="2"/>
        <v>Unrated</v>
      </c>
    </row>
    <row r="56" spans="1:9" x14ac:dyDescent="0.3">
      <c r="A56" s="9" t="s">
        <v>170</v>
      </c>
      <c r="B56" s="3">
        <v>499</v>
      </c>
      <c r="C56" s="3">
        <v>900</v>
      </c>
      <c r="D56" s="3">
        <f t="shared" si="0"/>
        <v>401</v>
      </c>
      <c r="E56" s="1">
        <v>0.45</v>
      </c>
      <c r="F56" s="1" t="str">
        <f t="shared" si="1"/>
        <v>High discount</v>
      </c>
      <c r="G56" s="3" t="s">
        <v>323</v>
      </c>
      <c r="H56" s="23" t="s">
        <v>324</v>
      </c>
      <c r="I56" s="10" t="str">
        <f t="shared" si="2"/>
        <v>Unrated</v>
      </c>
    </row>
    <row r="57" spans="1:9" x14ac:dyDescent="0.3">
      <c r="A57" s="9" t="s">
        <v>173</v>
      </c>
      <c r="B57" s="3">
        <v>699</v>
      </c>
      <c r="C57" s="3">
        <v>1343</v>
      </c>
      <c r="D57" s="3">
        <f t="shared" si="0"/>
        <v>644</v>
      </c>
      <c r="E57" s="1">
        <v>0.48</v>
      </c>
      <c r="F57" s="1" t="str">
        <f t="shared" si="1"/>
        <v>High discount</v>
      </c>
      <c r="G57" s="3" t="s">
        <v>323</v>
      </c>
      <c r="H57" s="23" t="s">
        <v>324</v>
      </c>
      <c r="I57" s="10" t="str">
        <f t="shared" si="2"/>
        <v>Unrated</v>
      </c>
    </row>
    <row r="58" spans="1:9" x14ac:dyDescent="0.3">
      <c r="A58" s="9" t="s">
        <v>175</v>
      </c>
      <c r="B58" s="3">
        <v>799</v>
      </c>
      <c r="C58" s="3">
        <v>1567</v>
      </c>
      <c r="D58" s="3">
        <f t="shared" si="0"/>
        <v>768</v>
      </c>
      <c r="E58" s="1">
        <v>0.49</v>
      </c>
      <c r="F58" s="1" t="str">
        <f t="shared" si="1"/>
        <v>High discount</v>
      </c>
      <c r="G58" s="3" t="s">
        <v>323</v>
      </c>
      <c r="H58" s="23" t="s">
        <v>324</v>
      </c>
      <c r="I58" s="10" t="str">
        <f t="shared" si="2"/>
        <v>Unrated</v>
      </c>
    </row>
    <row r="59" spans="1:9" x14ac:dyDescent="0.3">
      <c r="A59" s="9" t="s">
        <v>177</v>
      </c>
      <c r="B59" s="3">
        <v>2799</v>
      </c>
      <c r="C59" s="3">
        <v>3810</v>
      </c>
      <c r="D59" s="3">
        <f t="shared" si="0"/>
        <v>1011</v>
      </c>
      <c r="E59" s="1">
        <v>0.27</v>
      </c>
      <c r="F59" s="1" t="str">
        <f t="shared" si="1"/>
        <v>Medium discount</v>
      </c>
      <c r="G59" s="3" t="s">
        <v>323</v>
      </c>
      <c r="H59" s="23" t="s">
        <v>324</v>
      </c>
      <c r="I59" s="10" t="str">
        <f t="shared" si="2"/>
        <v>Unrated</v>
      </c>
    </row>
    <row r="60" spans="1:9" x14ac:dyDescent="0.3">
      <c r="A60" s="9" t="s">
        <v>170</v>
      </c>
      <c r="B60" s="3">
        <v>399</v>
      </c>
      <c r="C60" s="3">
        <v>896</v>
      </c>
      <c r="D60" s="3">
        <f t="shared" si="0"/>
        <v>497</v>
      </c>
      <c r="E60" s="1">
        <v>0.55000000000000004</v>
      </c>
      <c r="F60" s="1" t="str">
        <f t="shared" si="1"/>
        <v>High discount</v>
      </c>
      <c r="G60" s="3" t="s">
        <v>323</v>
      </c>
      <c r="H60" s="23" t="s">
        <v>324</v>
      </c>
      <c r="I60" s="10" t="str">
        <f t="shared" si="2"/>
        <v>Unrated</v>
      </c>
    </row>
    <row r="61" spans="1:9" x14ac:dyDescent="0.3">
      <c r="A61" s="9" t="s">
        <v>182</v>
      </c>
      <c r="B61" s="3">
        <v>2170</v>
      </c>
      <c r="C61" s="3">
        <v>2500</v>
      </c>
      <c r="D61" s="3">
        <f t="shared" si="0"/>
        <v>330</v>
      </c>
      <c r="E61" s="1">
        <v>0.13</v>
      </c>
      <c r="F61" s="1" t="str">
        <f t="shared" si="1"/>
        <v>Low discount</v>
      </c>
      <c r="G61" s="3">
        <v>6</v>
      </c>
      <c r="H61" s="23">
        <v>2.5</v>
      </c>
      <c r="I61" s="10" t="str">
        <f t="shared" si="2"/>
        <v>Poor</v>
      </c>
    </row>
    <row r="62" spans="1:9" x14ac:dyDescent="0.3">
      <c r="A62" s="9" t="s">
        <v>186</v>
      </c>
      <c r="B62" s="3">
        <v>458</v>
      </c>
      <c r="C62" s="3">
        <v>986</v>
      </c>
      <c r="D62" s="3">
        <f t="shared" si="0"/>
        <v>528</v>
      </c>
      <c r="E62" s="1">
        <v>0.54</v>
      </c>
      <c r="F62" s="1" t="str">
        <f t="shared" si="1"/>
        <v>High discount</v>
      </c>
      <c r="G62" s="3">
        <v>10</v>
      </c>
      <c r="H62" s="23">
        <v>3</v>
      </c>
      <c r="I62" s="10" t="str">
        <f t="shared" si="2"/>
        <v>Average</v>
      </c>
    </row>
    <row r="63" spans="1:9" x14ac:dyDescent="0.3">
      <c r="A63" s="9" t="s">
        <v>190</v>
      </c>
      <c r="B63" s="3">
        <v>2115</v>
      </c>
      <c r="C63" s="3">
        <v>4700</v>
      </c>
      <c r="D63" s="3">
        <f t="shared" si="0"/>
        <v>2585</v>
      </c>
      <c r="E63" s="1">
        <v>0.55000000000000004</v>
      </c>
      <c r="F63" s="1" t="str">
        <f t="shared" si="1"/>
        <v>High discount</v>
      </c>
      <c r="G63" s="3">
        <v>13</v>
      </c>
      <c r="H63" s="23">
        <v>2.1</v>
      </c>
      <c r="I63" s="10" t="str">
        <f t="shared" si="2"/>
        <v>Poor</v>
      </c>
    </row>
    <row r="64" spans="1:9" x14ac:dyDescent="0.3">
      <c r="A64" s="9" t="s">
        <v>194</v>
      </c>
      <c r="B64" s="3">
        <v>445</v>
      </c>
      <c r="C64" s="3">
        <v>873</v>
      </c>
      <c r="D64" s="3">
        <f t="shared" si="0"/>
        <v>428</v>
      </c>
      <c r="E64" s="1">
        <v>0.49</v>
      </c>
      <c r="F64" s="1" t="str">
        <f t="shared" si="1"/>
        <v>High discount</v>
      </c>
      <c r="G64" s="3">
        <v>69</v>
      </c>
      <c r="H64" s="23">
        <v>2.8</v>
      </c>
      <c r="I64" s="10" t="str">
        <f t="shared" si="2"/>
        <v>Poor</v>
      </c>
    </row>
    <row r="65" spans="1:9" x14ac:dyDescent="0.3">
      <c r="A65" s="9" t="s">
        <v>198</v>
      </c>
      <c r="B65" s="3">
        <v>325</v>
      </c>
      <c r="C65" s="3">
        <v>680</v>
      </c>
      <c r="D65" s="3">
        <f t="shared" si="0"/>
        <v>355</v>
      </c>
      <c r="E65" s="1">
        <v>0.52</v>
      </c>
      <c r="F65" s="1" t="str">
        <f t="shared" si="1"/>
        <v>High discount</v>
      </c>
      <c r="G65" s="3">
        <v>15</v>
      </c>
      <c r="H65" s="23">
        <v>2.7</v>
      </c>
      <c r="I65" s="10" t="str">
        <f t="shared" si="2"/>
        <v>Poor</v>
      </c>
    </row>
    <row r="66" spans="1:9" x14ac:dyDescent="0.3">
      <c r="A66" s="9" t="s">
        <v>202</v>
      </c>
      <c r="B66" s="3">
        <v>1220</v>
      </c>
      <c r="C66" s="3">
        <v>1555</v>
      </c>
      <c r="D66" s="3">
        <f t="shared" si="0"/>
        <v>335</v>
      </c>
      <c r="E66" s="1">
        <v>0.22</v>
      </c>
      <c r="F66" s="1" t="str">
        <f t="shared" si="1"/>
        <v>Medium discount</v>
      </c>
      <c r="G66" s="3">
        <v>16</v>
      </c>
      <c r="H66" s="23">
        <v>2.9</v>
      </c>
      <c r="I66" s="10" t="str">
        <f t="shared" si="2"/>
        <v>Poor</v>
      </c>
    </row>
    <row r="67" spans="1:9" x14ac:dyDescent="0.3">
      <c r="A67" s="9" t="s">
        <v>206</v>
      </c>
      <c r="B67" s="3">
        <v>990</v>
      </c>
      <c r="C67" s="3">
        <v>1814</v>
      </c>
      <c r="D67" s="3">
        <f t="shared" ref="D67:D113" si="3">C67-B67</f>
        <v>824</v>
      </c>
      <c r="E67" s="1">
        <v>0.45</v>
      </c>
      <c r="F67" s="1" t="str">
        <f t="shared" ref="F67:F113" si="4">IF(E67&gt;=40%,"High discount",IF(E67&gt;=20%,"Medium discount","Low discount"))</f>
        <v>High discount</v>
      </c>
      <c r="G67" s="3">
        <v>6</v>
      </c>
      <c r="H67" s="23">
        <v>2.2000000000000002</v>
      </c>
      <c r="I67" s="10" t="str">
        <f t="shared" ref="I67:I113" si="5">IF(H67="No Rating","Unrated",IF(H67&gt;=4.5,"Excellent",IF(H67&gt;=3,"Average","Poor")))</f>
        <v>Poor</v>
      </c>
    </row>
    <row r="68" spans="1:9" x14ac:dyDescent="0.3">
      <c r="A68" s="9" t="s">
        <v>209</v>
      </c>
      <c r="B68" s="3">
        <v>1000</v>
      </c>
      <c r="C68" s="3">
        <v>2000</v>
      </c>
      <c r="D68" s="3">
        <f t="shared" si="3"/>
        <v>1000</v>
      </c>
      <c r="E68" s="1">
        <v>0.5</v>
      </c>
      <c r="F68" s="1" t="str">
        <f t="shared" si="4"/>
        <v>High discount</v>
      </c>
      <c r="G68" s="3">
        <v>7</v>
      </c>
      <c r="H68" s="23">
        <v>2.2999999999999998</v>
      </c>
      <c r="I68" s="10" t="str">
        <f t="shared" si="5"/>
        <v>Poor</v>
      </c>
    </row>
    <row r="69" spans="1:9" x14ac:dyDescent="0.3">
      <c r="A69" s="9" t="s">
        <v>212</v>
      </c>
      <c r="B69" s="3">
        <v>3750</v>
      </c>
      <c r="C69" s="3">
        <v>6143</v>
      </c>
      <c r="D69" s="3">
        <f t="shared" si="3"/>
        <v>2393</v>
      </c>
      <c r="E69" s="1">
        <v>0.39</v>
      </c>
      <c r="F69" s="1" t="str">
        <f t="shared" si="4"/>
        <v>Medium discount</v>
      </c>
      <c r="G69" s="3">
        <v>5</v>
      </c>
      <c r="H69" s="23">
        <v>3</v>
      </c>
      <c r="I69" s="10" t="str">
        <f t="shared" si="5"/>
        <v>Average</v>
      </c>
    </row>
    <row r="70" spans="1:9" x14ac:dyDescent="0.3">
      <c r="A70" s="9" t="s">
        <v>215</v>
      </c>
      <c r="B70" s="3">
        <v>382</v>
      </c>
      <c r="C70" s="3">
        <v>700</v>
      </c>
      <c r="D70" s="3">
        <f t="shared" si="3"/>
        <v>318</v>
      </c>
      <c r="E70" s="1">
        <v>0.45</v>
      </c>
      <c r="F70" s="1" t="str">
        <f t="shared" si="4"/>
        <v>High discount</v>
      </c>
      <c r="G70" s="3">
        <v>17</v>
      </c>
      <c r="H70" s="23">
        <v>2.6</v>
      </c>
      <c r="I70" s="10" t="str">
        <f t="shared" si="5"/>
        <v>Poor</v>
      </c>
    </row>
    <row r="71" spans="1:9" x14ac:dyDescent="0.3">
      <c r="A71" s="9" t="s">
        <v>218</v>
      </c>
      <c r="B71" s="3">
        <v>2300</v>
      </c>
      <c r="C71" s="3">
        <v>3240</v>
      </c>
      <c r="D71" s="3">
        <f t="shared" si="3"/>
        <v>940</v>
      </c>
      <c r="E71" s="1">
        <v>0.28999999999999998</v>
      </c>
      <c r="F71" s="1" t="str">
        <f t="shared" si="4"/>
        <v>Medium discount</v>
      </c>
      <c r="G71" s="3">
        <v>5</v>
      </c>
      <c r="H71" s="23">
        <v>3</v>
      </c>
      <c r="I71" s="10" t="str">
        <f t="shared" si="5"/>
        <v>Average</v>
      </c>
    </row>
    <row r="72" spans="1:9" x14ac:dyDescent="0.3">
      <c r="A72" s="9" t="s">
        <v>221</v>
      </c>
      <c r="B72" s="3">
        <v>345</v>
      </c>
      <c r="C72" s="3">
        <v>602</v>
      </c>
      <c r="D72" s="3">
        <f t="shared" si="3"/>
        <v>257</v>
      </c>
      <c r="E72" s="1">
        <v>0.43</v>
      </c>
      <c r="F72" s="1" t="str">
        <f t="shared" si="4"/>
        <v>High discount</v>
      </c>
      <c r="G72" s="3">
        <v>6</v>
      </c>
      <c r="H72" s="23">
        <v>2.2999999999999998</v>
      </c>
      <c r="I72" s="10" t="str">
        <f t="shared" si="5"/>
        <v>Poor</v>
      </c>
    </row>
    <row r="73" spans="1:9" x14ac:dyDescent="0.3">
      <c r="A73" s="9" t="s">
        <v>224</v>
      </c>
      <c r="B73" s="3">
        <v>509</v>
      </c>
      <c r="C73" s="3">
        <v>899</v>
      </c>
      <c r="D73" s="3">
        <f t="shared" si="3"/>
        <v>390</v>
      </c>
      <c r="E73" s="1">
        <v>0.43</v>
      </c>
      <c r="F73" s="1" t="str">
        <f t="shared" si="4"/>
        <v>High discount</v>
      </c>
      <c r="G73" s="3">
        <v>5</v>
      </c>
      <c r="H73" s="23">
        <v>3</v>
      </c>
      <c r="I73" s="10" t="str">
        <f t="shared" si="5"/>
        <v>Average</v>
      </c>
    </row>
    <row r="74" spans="1:9" x14ac:dyDescent="0.3">
      <c r="A74" s="9" t="s">
        <v>227</v>
      </c>
      <c r="B74" s="3">
        <v>968</v>
      </c>
      <c r="C74" s="3">
        <v>1814</v>
      </c>
      <c r="D74" s="3">
        <f t="shared" si="3"/>
        <v>846</v>
      </c>
      <c r="E74" s="1">
        <v>0.47</v>
      </c>
      <c r="F74" s="1" t="str">
        <f t="shared" si="4"/>
        <v>High discount</v>
      </c>
      <c r="G74" s="3">
        <v>6</v>
      </c>
      <c r="H74" s="23">
        <v>2.2000000000000002</v>
      </c>
      <c r="I74" s="10" t="str">
        <f t="shared" si="5"/>
        <v>Poor</v>
      </c>
    </row>
    <row r="75" spans="1:9" x14ac:dyDescent="0.3">
      <c r="A75" s="9" t="s">
        <v>229</v>
      </c>
      <c r="B75" s="3">
        <v>1570</v>
      </c>
      <c r="C75" s="3">
        <v>2988</v>
      </c>
      <c r="D75" s="3">
        <f t="shared" si="3"/>
        <v>1418</v>
      </c>
      <c r="E75" s="1">
        <v>0.47</v>
      </c>
      <c r="F75" s="1" t="str">
        <f t="shared" si="4"/>
        <v>High discount</v>
      </c>
      <c r="G75" s="3">
        <v>7</v>
      </c>
      <c r="H75" s="23">
        <v>2.1</v>
      </c>
      <c r="I75" s="10" t="str">
        <f t="shared" si="5"/>
        <v>Poor</v>
      </c>
    </row>
    <row r="76" spans="1:9" x14ac:dyDescent="0.3">
      <c r="A76" s="9" t="s">
        <v>232</v>
      </c>
      <c r="B76" s="3">
        <v>790</v>
      </c>
      <c r="C76" s="3">
        <v>1485</v>
      </c>
      <c r="D76" s="3">
        <f t="shared" si="3"/>
        <v>695</v>
      </c>
      <c r="E76" s="1">
        <v>0.47</v>
      </c>
      <c r="F76" s="1" t="str">
        <f t="shared" si="4"/>
        <v>High discount</v>
      </c>
      <c r="G76" s="3" t="s">
        <v>323</v>
      </c>
      <c r="H76" s="23" t="s">
        <v>324</v>
      </c>
      <c r="I76" s="10" t="str">
        <f t="shared" si="5"/>
        <v>Unrated</v>
      </c>
    </row>
    <row r="77" spans="1:9" x14ac:dyDescent="0.3">
      <c r="A77" s="9" t="s">
        <v>235</v>
      </c>
      <c r="B77" s="3">
        <v>690</v>
      </c>
      <c r="C77" s="3">
        <v>1200</v>
      </c>
      <c r="D77" s="3">
        <f t="shared" si="3"/>
        <v>510</v>
      </c>
      <c r="E77" s="1">
        <v>0.43</v>
      </c>
      <c r="F77" s="1" t="str">
        <f t="shared" si="4"/>
        <v>High discount</v>
      </c>
      <c r="G77" s="3" t="s">
        <v>323</v>
      </c>
      <c r="H77" s="23" t="s">
        <v>324</v>
      </c>
      <c r="I77" s="10" t="str">
        <f t="shared" si="5"/>
        <v>Unrated</v>
      </c>
    </row>
    <row r="78" spans="1:9" x14ac:dyDescent="0.3">
      <c r="A78" s="9" t="s">
        <v>237</v>
      </c>
      <c r="B78" s="3">
        <v>1732</v>
      </c>
      <c r="C78" s="3">
        <v>1799</v>
      </c>
      <c r="D78" s="3">
        <f t="shared" si="3"/>
        <v>67</v>
      </c>
      <c r="E78" s="1">
        <v>0.04</v>
      </c>
      <c r="F78" s="1" t="str">
        <f t="shared" si="4"/>
        <v>Low discount</v>
      </c>
      <c r="G78" s="3" t="s">
        <v>323</v>
      </c>
      <c r="H78" s="23" t="s">
        <v>324</v>
      </c>
      <c r="I78" s="10" t="str">
        <f t="shared" si="5"/>
        <v>Unrated</v>
      </c>
    </row>
    <row r="79" spans="1:9" x14ac:dyDescent="0.3">
      <c r="A79" s="9" t="s">
        <v>240</v>
      </c>
      <c r="B79" s="3">
        <v>230</v>
      </c>
      <c r="C79" s="3">
        <v>450</v>
      </c>
      <c r="D79" s="3">
        <f t="shared" si="3"/>
        <v>220</v>
      </c>
      <c r="E79" s="1">
        <v>0.49</v>
      </c>
      <c r="F79" s="1" t="str">
        <f t="shared" si="4"/>
        <v>High discount</v>
      </c>
      <c r="G79" s="3" t="s">
        <v>323</v>
      </c>
      <c r="H79" s="23" t="s">
        <v>324</v>
      </c>
      <c r="I79" s="10" t="str">
        <f t="shared" si="5"/>
        <v>Unrated</v>
      </c>
    </row>
    <row r="80" spans="1:9" x14ac:dyDescent="0.3">
      <c r="A80" s="9" t="s">
        <v>243</v>
      </c>
      <c r="B80" s="3">
        <v>1189</v>
      </c>
      <c r="C80" s="3">
        <v>2199</v>
      </c>
      <c r="D80" s="3">
        <f t="shared" si="3"/>
        <v>1010</v>
      </c>
      <c r="E80" s="1">
        <v>0.46</v>
      </c>
      <c r="F80" s="1" t="str">
        <f t="shared" si="4"/>
        <v>High discount</v>
      </c>
      <c r="G80" s="3">
        <v>1</v>
      </c>
      <c r="H80" s="23">
        <v>3</v>
      </c>
      <c r="I80" s="10" t="str">
        <f t="shared" si="5"/>
        <v>Average</v>
      </c>
    </row>
    <row r="81" spans="1:9" x14ac:dyDescent="0.3">
      <c r="A81" s="9" t="s">
        <v>245</v>
      </c>
      <c r="B81" s="3">
        <v>979</v>
      </c>
      <c r="C81" s="3">
        <v>1920</v>
      </c>
      <c r="D81" s="3">
        <f t="shared" si="3"/>
        <v>941</v>
      </c>
      <c r="E81" s="1">
        <v>0.49</v>
      </c>
      <c r="F81" s="1" t="str">
        <f t="shared" si="4"/>
        <v>High discount</v>
      </c>
      <c r="G81" s="3">
        <v>1</v>
      </c>
      <c r="H81" s="23">
        <v>5</v>
      </c>
      <c r="I81" s="10" t="str">
        <f t="shared" si="5"/>
        <v>Excellent</v>
      </c>
    </row>
    <row r="82" spans="1:9" x14ac:dyDescent="0.3">
      <c r="A82" s="9" t="s">
        <v>248</v>
      </c>
      <c r="B82" s="3">
        <v>1460</v>
      </c>
      <c r="C82" s="3">
        <v>2290</v>
      </c>
      <c r="D82" s="3">
        <f t="shared" si="3"/>
        <v>830</v>
      </c>
      <c r="E82" s="1">
        <v>0.36</v>
      </c>
      <c r="F82" s="1" t="str">
        <f t="shared" si="4"/>
        <v>Medium discount</v>
      </c>
      <c r="G82" s="3" t="s">
        <v>323</v>
      </c>
      <c r="H82" s="23" t="s">
        <v>324</v>
      </c>
      <c r="I82" s="10" t="str">
        <f t="shared" si="5"/>
        <v>Unrated</v>
      </c>
    </row>
    <row r="83" spans="1:9" x14ac:dyDescent="0.3">
      <c r="A83" s="9" t="s">
        <v>251</v>
      </c>
      <c r="B83" s="3">
        <v>1666</v>
      </c>
      <c r="C83" s="3">
        <v>1699</v>
      </c>
      <c r="D83" s="3">
        <f t="shared" si="3"/>
        <v>33</v>
      </c>
      <c r="E83" s="1">
        <v>0.02</v>
      </c>
      <c r="F83" s="1" t="str">
        <f t="shared" si="4"/>
        <v>Low discount</v>
      </c>
      <c r="G83" s="3" t="s">
        <v>323</v>
      </c>
      <c r="H83" s="23" t="s">
        <v>324</v>
      </c>
      <c r="I83" s="10" t="str">
        <f t="shared" si="5"/>
        <v>Unrated</v>
      </c>
    </row>
    <row r="84" spans="1:9" x14ac:dyDescent="0.3">
      <c r="A84" s="9" t="s">
        <v>253</v>
      </c>
      <c r="B84" s="3">
        <v>330</v>
      </c>
      <c r="C84" s="3">
        <v>647</v>
      </c>
      <c r="D84" s="3">
        <f t="shared" si="3"/>
        <v>317</v>
      </c>
      <c r="E84" s="1">
        <v>0.49</v>
      </c>
      <c r="F84" s="1" t="str">
        <f t="shared" si="4"/>
        <v>High discount</v>
      </c>
      <c r="G84" s="3">
        <v>1</v>
      </c>
      <c r="H84" s="23">
        <v>4</v>
      </c>
      <c r="I84" s="10" t="str">
        <f t="shared" si="5"/>
        <v>Average</v>
      </c>
    </row>
    <row r="85" spans="1:9" x14ac:dyDescent="0.3">
      <c r="A85" s="9" t="s">
        <v>154</v>
      </c>
      <c r="B85" s="3">
        <v>176</v>
      </c>
      <c r="C85" s="3">
        <v>345</v>
      </c>
      <c r="D85" s="3">
        <f t="shared" si="3"/>
        <v>169</v>
      </c>
      <c r="E85" s="1">
        <v>0.49</v>
      </c>
      <c r="F85" s="1" t="str">
        <f t="shared" si="4"/>
        <v>High discount</v>
      </c>
      <c r="G85" s="3" t="s">
        <v>323</v>
      </c>
      <c r="H85" s="23" t="s">
        <v>324</v>
      </c>
      <c r="I85" s="10" t="str">
        <f t="shared" si="5"/>
        <v>Unrated</v>
      </c>
    </row>
    <row r="86" spans="1:9" x14ac:dyDescent="0.3">
      <c r="A86" s="9" t="s">
        <v>256</v>
      </c>
      <c r="B86" s="3">
        <v>1466</v>
      </c>
      <c r="C86" s="3">
        <v>1699</v>
      </c>
      <c r="D86" s="3">
        <f t="shared" si="3"/>
        <v>233</v>
      </c>
      <c r="E86" s="1">
        <v>0.14000000000000001</v>
      </c>
      <c r="F86" s="1" t="str">
        <f t="shared" si="4"/>
        <v>Low discount</v>
      </c>
      <c r="G86" s="3" t="s">
        <v>323</v>
      </c>
      <c r="H86" s="23" t="s">
        <v>324</v>
      </c>
      <c r="I86" s="10" t="str">
        <f t="shared" si="5"/>
        <v>Unrated</v>
      </c>
    </row>
    <row r="87" spans="1:9" x14ac:dyDescent="0.3">
      <c r="A87" s="9" t="s">
        <v>258</v>
      </c>
      <c r="B87" s="3">
        <v>274</v>
      </c>
      <c r="C87" s="3">
        <v>537</v>
      </c>
      <c r="D87" s="3">
        <f t="shared" si="3"/>
        <v>263</v>
      </c>
      <c r="E87" s="1">
        <v>0.49</v>
      </c>
      <c r="F87" s="1" t="str">
        <f t="shared" si="4"/>
        <v>High discount</v>
      </c>
      <c r="G87" s="3" t="s">
        <v>323</v>
      </c>
      <c r="H87" s="23" t="s">
        <v>324</v>
      </c>
      <c r="I87" s="10" t="str">
        <f t="shared" si="5"/>
        <v>Unrated</v>
      </c>
    </row>
    <row r="88" spans="1:9" x14ac:dyDescent="0.3">
      <c r="A88" s="9" t="s">
        <v>261</v>
      </c>
      <c r="B88" s="3">
        <v>799</v>
      </c>
      <c r="C88" s="3">
        <v>900</v>
      </c>
      <c r="D88" s="3">
        <f t="shared" si="3"/>
        <v>101</v>
      </c>
      <c r="E88" s="1">
        <v>0.11</v>
      </c>
      <c r="F88" s="1" t="str">
        <f t="shared" si="4"/>
        <v>Low discount</v>
      </c>
      <c r="G88" s="3" t="s">
        <v>323</v>
      </c>
      <c r="H88" s="23" t="s">
        <v>324</v>
      </c>
      <c r="I88" s="10" t="str">
        <f t="shared" si="5"/>
        <v>Unrated</v>
      </c>
    </row>
    <row r="89" spans="1:9" x14ac:dyDescent="0.3">
      <c r="A89" s="9" t="s">
        <v>175</v>
      </c>
      <c r="B89" s="3">
        <v>657</v>
      </c>
      <c r="C89" s="3">
        <v>1288</v>
      </c>
      <c r="D89" s="3">
        <f t="shared" si="3"/>
        <v>631</v>
      </c>
      <c r="E89" s="1">
        <v>0.49</v>
      </c>
      <c r="F89" s="1" t="str">
        <f t="shared" si="4"/>
        <v>High discount</v>
      </c>
      <c r="G89" s="3" t="s">
        <v>323</v>
      </c>
      <c r="H89" s="23" t="s">
        <v>324</v>
      </c>
      <c r="I89" s="10" t="str">
        <f t="shared" si="5"/>
        <v>Unrated</v>
      </c>
    </row>
    <row r="90" spans="1:9" x14ac:dyDescent="0.3">
      <c r="A90" s="9" t="s">
        <v>264</v>
      </c>
      <c r="B90" s="3">
        <v>1468</v>
      </c>
      <c r="C90" s="3">
        <v>1699</v>
      </c>
      <c r="D90" s="3">
        <f t="shared" si="3"/>
        <v>231</v>
      </c>
      <c r="E90" s="1">
        <v>0.14000000000000001</v>
      </c>
      <c r="F90" s="1" t="str">
        <f t="shared" si="4"/>
        <v>Low discount</v>
      </c>
      <c r="G90" s="3" t="s">
        <v>323</v>
      </c>
      <c r="H90" s="23" t="s">
        <v>324</v>
      </c>
      <c r="I90" s="10" t="str">
        <f t="shared" si="5"/>
        <v>Unrated</v>
      </c>
    </row>
    <row r="91" spans="1:9" x14ac:dyDescent="0.3">
      <c r="A91" s="9" t="s">
        <v>266</v>
      </c>
      <c r="B91" s="3">
        <v>630</v>
      </c>
      <c r="C91" s="3">
        <v>1100</v>
      </c>
      <c r="D91" s="3">
        <f t="shared" si="3"/>
        <v>470</v>
      </c>
      <c r="E91" s="1">
        <v>0.43</v>
      </c>
      <c r="F91" s="1" t="str">
        <f t="shared" si="4"/>
        <v>High discount</v>
      </c>
      <c r="G91" s="3" t="s">
        <v>323</v>
      </c>
      <c r="H91" s="23" t="s">
        <v>324</v>
      </c>
      <c r="I91" s="10" t="str">
        <f t="shared" si="5"/>
        <v>Unrated</v>
      </c>
    </row>
    <row r="92" spans="1:9" x14ac:dyDescent="0.3">
      <c r="A92" s="9" t="s">
        <v>269</v>
      </c>
      <c r="B92" s="3">
        <v>850</v>
      </c>
      <c r="C92" s="3">
        <v>1700</v>
      </c>
      <c r="D92" s="3">
        <f t="shared" si="3"/>
        <v>850</v>
      </c>
      <c r="E92" s="1">
        <v>0.5</v>
      </c>
      <c r="F92" s="1" t="str">
        <f t="shared" si="4"/>
        <v>High discount</v>
      </c>
      <c r="G92" s="3" t="s">
        <v>323</v>
      </c>
      <c r="H92" s="23" t="s">
        <v>324</v>
      </c>
      <c r="I92" s="10" t="str">
        <f t="shared" si="5"/>
        <v>Unrated</v>
      </c>
    </row>
    <row r="93" spans="1:9" x14ac:dyDescent="0.3">
      <c r="A93" s="9" t="s">
        <v>272</v>
      </c>
      <c r="B93" s="3">
        <v>1300</v>
      </c>
      <c r="C93" s="3">
        <v>2500</v>
      </c>
      <c r="D93" s="3">
        <f t="shared" si="3"/>
        <v>1200</v>
      </c>
      <c r="E93" s="1">
        <v>0.48</v>
      </c>
      <c r="F93" s="1" t="str">
        <f t="shared" si="4"/>
        <v>High discount</v>
      </c>
      <c r="G93" s="3" t="s">
        <v>323</v>
      </c>
      <c r="H93" s="23" t="s">
        <v>324</v>
      </c>
      <c r="I93" s="10" t="str">
        <f t="shared" si="5"/>
        <v>Unrated</v>
      </c>
    </row>
    <row r="94" spans="1:9" x14ac:dyDescent="0.3">
      <c r="A94" s="9" t="s">
        <v>274</v>
      </c>
      <c r="B94" s="3">
        <v>105</v>
      </c>
      <c r="C94" s="3">
        <v>200</v>
      </c>
      <c r="D94" s="3">
        <f t="shared" si="3"/>
        <v>95</v>
      </c>
      <c r="E94" s="1">
        <v>0.48</v>
      </c>
      <c r="F94" s="1" t="str">
        <f t="shared" si="4"/>
        <v>High discount</v>
      </c>
      <c r="G94" s="3" t="s">
        <v>323</v>
      </c>
      <c r="H94" s="23" t="s">
        <v>324</v>
      </c>
      <c r="I94" s="10" t="str">
        <f t="shared" si="5"/>
        <v>Unrated</v>
      </c>
    </row>
    <row r="95" spans="1:9" x14ac:dyDescent="0.3">
      <c r="A95" s="9" t="s">
        <v>277</v>
      </c>
      <c r="B95" s="3">
        <v>899</v>
      </c>
      <c r="C95" s="3">
        <v>1699</v>
      </c>
      <c r="D95" s="3">
        <f t="shared" si="3"/>
        <v>800</v>
      </c>
      <c r="E95" s="1">
        <v>0.47</v>
      </c>
      <c r="F95" s="1" t="str">
        <f t="shared" si="4"/>
        <v>High discount</v>
      </c>
      <c r="G95" s="3" t="s">
        <v>323</v>
      </c>
      <c r="H95" s="23" t="s">
        <v>324</v>
      </c>
      <c r="I95" s="10" t="str">
        <f t="shared" si="5"/>
        <v>Unrated</v>
      </c>
    </row>
    <row r="96" spans="1:9" x14ac:dyDescent="0.3">
      <c r="A96" s="9" t="s">
        <v>278</v>
      </c>
      <c r="B96" s="3">
        <v>1200</v>
      </c>
      <c r="C96" s="3">
        <v>2400</v>
      </c>
      <c r="D96" s="3">
        <f t="shared" si="3"/>
        <v>1200</v>
      </c>
      <c r="E96" s="1">
        <v>0.5</v>
      </c>
      <c r="F96" s="1" t="str">
        <f t="shared" si="4"/>
        <v>High discount</v>
      </c>
      <c r="G96" s="3" t="s">
        <v>323</v>
      </c>
      <c r="H96" s="23" t="s">
        <v>324</v>
      </c>
      <c r="I96" s="10" t="str">
        <f t="shared" si="5"/>
        <v>Unrated</v>
      </c>
    </row>
    <row r="97" spans="1:9" x14ac:dyDescent="0.3">
      <c r="A97" s="9" t="s">
        <v>280</v>
      </c>
      <c r="B97" s="3">
        <v>1526</v>
      </c>
      <c r="C97" s="3">
        <v>1660</v>
      </c>
      <c r="D97" s="3">
        <f t="shared" si="3"/>
        <v>134</v>
      </c>
      <c r="E97" s="1">
        <v>0.08</v>
      </c>
      <c r="F97" s="1" t="str">
        <f t="shared" si="4"/>
        <v>Low discount</v>
      </c>
      <c r="G97" s="3" t="s">
        <v>323</v>
      </c>
      <c r="H97" s="23" t="s">
        <v>324</v>
      </c>
      <c r="I97" s="10" t="str">
        <f t="shared" si="5"/>
        <v>Unrated</v>
      </c>
    </row>
    <row r="98" spans="1:9" x14ac:dyDescent="0.3">
      <c r="A98" s="9" t="s">
        <v>282</v>
      </c>
      <c r="B98" s="3">
        <v>1462</v>
      </c>
      <c r="C98" s="3">
        <v>1499</v>
      </c>
      <c r="D98" s="3">
        <f t="shared" si="3"/>
        <v>37</v>
      </c>
      <c r="E98" s="1">
        <v>0.02</v>
      </c>
      <c r="F98" s="1" t="str">
        <f t="shared" si="4"/>
        <v>Low discount</v>
      </c>
      <c r="G98" s="3" t="s">
        <v>323</v>
      </c>
      <c r="H98" s="23" t="s">
        <v>324</v>
      </c>
      <c r="I98" s="10" t="str">
        <f t="shared" si="5"/>
        <v>Unrated</v>
      </c>
    </row>
    <row r="99" spans="1:9" x14ac:dyDescent="0.3">
      <c r="A99" s="9" t="s">
        <v>284</v>
      </c>
      <c r="B99" s="3">
        <v>248</v>
      </c>
      <c r="C99" s="3">
        <v>486</v>
      </c>
      <c r="D99" s="3">
        <f t="shared" si="3"/>
        <v>238</v>
      </c>
      <c r="E99" s="1">
        <v>0.49</v>
      </c>
      <c r="F99" s="1" t="str">
        <f t="shared" si="4"/>
        <v>High discount</v>
      </c>
      <c r="G99" s="3" t="s">
        <v>323</v>
      </c>
      <c r="H99" s="23" t="s">
        <v>324</v>
      </c>
      <c r="I99" s="10" t="str">
        <f t="shared" si="5"/>
        <v>Unrated</v>
      </c>
    </row>
    <row r="100" spans="1:9" x14ac:dyDescent="0.3">
      <c r="A100" s="9" t="s">
        <v>287</v>
      </c>
      <c r="B100" s="3">
        <v>3546</v>
      </c>
      <c r="C100" s="3">
        <v>3699</v>
      </c>
      <c r="D100" s="3">
        <f t="shared" si="3"/>
        <v>153</v>
      </c>
      <c r="E100" s="1">
        <v>0.04</v>
      </c>
      <c r="F100" s="1" t="str">
        <f t="shared" si="4"/>
        <v>Low discount</v>
      </c>
      <c r="G100" s="3" t="s">
        <v>323</v>
      </c>
      <c r="H100" s="23" t="s">
        <v>324</v>
      </c>
      <c r="I100" s="10" t="str">
        <f t="shared" si="5"/>
        <v>Unrated</v>
      </c>
    </row>
    <row r="101" spans="1:9" x14ac:dyDescent="0.3">
      <c r="A101" s="9" t="s">
        <v>289</v>
      </c>
      <c r="B101" s="3">
        <v>525</v>
      </c>
      <c r="C101" s="3">
        <v>1029</v>
      </c>
      <c r="D101" s="3">
        <f t="shared" si="3"/>
        <v>504</v>
      </c>
      <c r="E101" s="1">
        <v>0.49</v>
      </c>
      <c r="F101" s="1" t="str">
        <f t="shared" si="4"/>
        <v>High discount</v>
      </c>
      <c r="G101" s="3" t="s">
        <v>323</v>
      </c>
      <c r="H101" s="23" t="s">
        <v>324</v>
      </c>
      <c r="I101" s="10" t="str">
        <f t="shared" si="5"/>
        <v>Unrated</v>
      </c>
    </row>
    <row r="102" spans="1:9" x14ac:dyDescent="0.3">
      <c r="A102" s="9" t="s">
        <v>292</v>
      </c>
      <c r="B102" s="3">
        <v>1080</v>
      </c>
      <c r="C102" s="3">
        <v>1874</v>
      </c>
      <c r="D102" s="3">
        <f t="shared" si="3"/>
        <v>794</v>
      </c>
      <c r="E102" s="1">
        <v>0.42</v>
      </c>
      <c r="F102" s="1" t="str">
        <f t="shared" si="4"/>
        <v>High discount</v>
      </c>
      <c r="G102" s="3" t="s">
        <v>323</v>
      </c>
      <c r="H102" s="23" t="s">
        <v>324</v>
      </c>
      <c r="I102" s="10" t="str">
        <f t="shared" si="5"/>
        <v>Unrated</v>
      </c>
    </row>
    <row r="103" spans="1:9" x14ac:dyDescent="0.3">
      <c r="A103" s="9" t="s">
        <v>295</v>
      </c>
      <c r="B103" s="3">
        <v>3640</v>
      </c>
      <c r="C103" s="3">
        <v>4588</v>
      </c>
      <c r="D103" s="3">
        <f t="shared" si="3"/>
        <v>948</v>
      </c>
      <c r="E103" s="1">
        <v>0.21</v>
      </c>
      <c r="F103" s="1" t="str">
        <f t="shared" si="4"/>
        <v>Medium discount</v>
      </c>
      <c r="G103" s="3">
        <v>1</v>
      </c>
      <c r="H103" s="23">
        <v>5</v>
      </c>
      <c r="I103" s="10" t="str">
        <f t="shared" si="5"/>
        <v>Excellent</v>
      </c>
    </row>
    <row r="104" spans="1:9" x14ac:dyDescent="0.3">
      <c r="A104" s="9" t="s">
        <v>298</v>
      </c>
      <c r="B104" s="3">
        <v>1420</v>
      </c>
      <c r="C104" s="3">
        <v>2420</v>
      </c>
      <c r="D104" s="3">
        <f t="shared" si="3"/>
        <v>1000</v>
      </c>
      <c r="E104" s="1">
        <v>0.41</v>
      </c>
      <c r="F104" s="1" t="str">
        <f t="shared" si="4"/>
        <v>High discount</v>
      </c>
      <c r="G104" s="3" t="s">
        <v>323</v>
      </c>
      <c r="H104" s="23" t="s">
        <v>324</v>
      </c>
      <c r="I104" s="10" t="str">
        <f t="shared" si="5"/>
        <v>Unrated</v>
      </c>
    </row>
    <row r="105" spans="1:9" x14ac:dyDescent="0.3">
      <c r="A105" s="9" t="s">
        <v>301</v>
      </c>
      <c r="B105" s="3">
        <v>1875</v>
      </c>
      <c r="C105" s="3">
        <v>1899</v>
      </c>
      <c r="D105" s="3">
        <f t="shared" si="3"/>
        <v>24</v>
      </c>
      <c r="E105" s="1">
        <v>0.01</v>
      </c>
      <c r="F105" s="1" t="str">
        <f t="shared" si="4"/>
        <v>Low discount</v>
      </c>
      <c r="G105" s="3" t="s">
        <v>323</v>
      </c>
      <c r="H105" s="23" t="s">
        <v>324</v>
      </c>
      <c r="I105" s="10" t="str">
        <f t="shared" si="5"/>
        <v>Unrated</v>
      </c>
    </row>
    <row r="106" spans="1:9" x14ac:dyDescent="0.3">
      <c r="A106" s="9" t="s">
        <v>304</v>
      </c>
      <c r="B106" s="3">
        <v>198</v>
      </c>
      <c r="C106" s="3">
        <v>260</v>
      </c>
      <c r="D106" s="3">
        <f t="shared" si="3"/>
        <v>62</v>
      </c>
      <c r="E106" s="1">
        <v>0.24</v>
      </c>
      <c r="F106" s="1" t="str">
        <f t="shared" si="4"/>
        <v>Medium discount</v>
      </c>
      <c r="G106" s="3" t="s">
        <v>323</v>
      </c>
      <c r="H106" s="23" t="s">
        <v>324</v>
      </c>
      <c r="I106" s="10" t="str">
        <f t="shared" si="5"/>
        <v>Unrated</v>
      </c>
    </row>
    <row r="107" spans="1:9" x14ac:dyDescent="0.3">
      <c r="A107" s="9" t="s">
        <v>307</v>
      </c>
      <c r="B107" s="3">
        <v>1150</v>
      </c>
      <c r="C107" s="3">
        <v>1737</v>
      </c>
      <c r="D107" s="3">
        <f t="shared" si="3"/>
        <v>587</v>
      </c>
      <c r="E107" s="1">
        <v>0.34</v>
      </c>
      <c r="F107" s="1" t="str">
        <f t="shared" si="4"/>
        <v>Medium discount</v>
      </c>
      <c r="G107" s="3" t="s">
        <v>323</v>
      </c>
      <c r="H107" s="23" t="s">
        <v>324</v>
      </c>
      <c r="I107" s="10" t="str">
        <f t="shared" si="5"/>
        <v>Unrated</v>
      </c>
    </row>
    <row r="108" spans="1:9" x14ac:dyDescent="0.3">
      <c r="A108" s="9" t="s">
        <v>310</v>
      </c>
      <c r="B108" s="3">
        <v>1190</v>
      </c>
      <c r="C108" s="3">
        <v>1810</v>
      </c>
      <c r="D108" s="3">
        <f t="shared" si="3"/>
        <v>620</v>
      </c>
      <c r="E108" s="1">
        <v>0.34</v>
      </c>
      <c r="F108" s="1" t="str">
        <f t="shared" si="4"/>
        <v>Medium discount</v>
      </c>
      <c r="G108" s="3" t="s">
        <v>323</v>
      </c>
      <c r="H108" s="23" t="s">
        <v>324</v>
      </c>
      <c r="I108" s="10" t="str">
        <f t="shared" si="5"/>
        <v>Unrated</v>
      </c>
    </row>
    <row r="109" spans="1:9" x14ac:dyDescent="0.3">
      <c r="A109" s="9" t="s">
        <v>312</v>
      </c>
      <c r="B109" s="3">
        <v>1658</v>
      </c>
      <c r="C109" s="3">
        <v>1699</v>
      </c>
      <c r="D109" s="3">
        <f t="shared" si="3"/>
        <v>41</v>
      </c>
      <c r="E109" s="1">
        <v>0.02</v>
      </c>
      <c r="F109" s="1" t="str">
        <f t="shared" si="4"/>
        <v>Low discount</v>
      </c>
      <c r="G109" s="3" t="s">
        <v>323</v>
      </c>
      <c r="H109" s="23" t="s">
        <v>324</v>
      </c>
      <c r="I109" s="10" t="str">
        <f t="shared" si="5"/>
        <v>Unrated</v>
      </c>
    </row>
    <row r="110" spans="1:9" x14ac:dyDescent="0.3">
      <c r="A110" s="9" t="s">
        <v>314</v>
      </c>
      <c r="B110" s="3">
        <v>1768</v>
      </c>
      <c r="C110" s="3">
        <v>1799</v>
      </c>
      <c r="D110" s="3">
        <f t="shared" si="3"/>
        <v>31</v>
      </c>
      <c r="E110" s="1">
        <v>0.02</v>
      </c>
      <c r="F110" s="1" t="str">
        <f t="shared" si="4"/>
        <v>Low discount</v>
      </c>
      <c r="G110" s="3" t="s">
        <v>323</v>
      </c>
      <c r="H110" s="23" t="s">
        <v>324</v>
      </c>
      <c r="I110" s="10" t="str">
        <f t="shared" si="5"/>
        <v>Unrated</v>
      </c>
    </row>
    <row r="111" spans="1:9" x14ac:dyDescent="0.3">
      <c r="A111" s="9" t="s">
        <v>316</v>
      </c>
      <c r="B111" s="3">
        <v>199</v>
      </c>
      <c r="C111" s="3">
        <v>553</v>
      </c>
      <c r="D111" s="3">
        <f t="shared" si="3"/>
        <v>354</v>
      </c>
      <c r="E111" s="1">
        <v>0.64</v>
      </c>
      <c r="F111" s="1" t="str">
        <f t="shared" si="4"/>
        <v>High discount</v>
      </c>
      <c r="G111" s="3" t="s">
        <v>323</v>
      </c>
      <c r="H111" s="23" t="s">
        <v>324</v>
      </c>
      <c r="I111" s="10" t="str">
        <f t="shared" si="5"/>
        <v>Unrated</v>
      </c>
    </row>
    <row r="112" spans="1:9" x14ac:dyDescent="0.3">
      <c r="A112" s="9" t="s">
        <v>318</v>
      </c>
      <c r="B112" s="3">
        <v>450</v>
      </c>
      <c r="C112" s="3">
        <v>900</v>
      </c>
      <c r="D112" s="3">
        <f t="shared" si="3"/>
        <v>450</v>
      </c>
      <c r="E112" s="1">
        <v>0.5</v>
      </c>
      <c r="F112" s="1" t="str">
        <f t="shared" si="4"/>
        <v>High discount</v>
      </c>
      <c r="G112" s="3">
        <v>1</v>
      </c>
      <c r="H112" s="23">
        <v>2</v>
      </c>
      <c r="I112" s="10" t="str">
        <f t="shared" si="5"/>
        <v>Poor</v>
      </c>
    </row>
    <row r="113" spans="1:9" ht="15" thickBot="1" x14ac:dyDescent="0.35">
      <c r="A113" s="11" t="s">
        <v>320</v>
      </c>
      <c r="B113" s="12">
        <v>169</v>
      </c>
      <c r="C113" s="12">
        <v>320</v>
      </c>
      <c r="D113" s="12">
        <f t="shared" si="3"/>
        <v>151</v>
      </c>
      <c r="E113" s="13">
        <v>0.47</v>
      </c>
      <c r="F113" s="13" t="str">
        <f t="shared" si="4"/>
        <v>High discount</v>
      </c>
      <c r="G113" s="12" t="s">
        <v>323</v>
      </c>
      <c r="H113" s="24" t="s">
        <v>324</v>
      </c>
      <c r="I113" s="14" t="str">
        <f t="shared" si="5"/>
        <v>Unrated</v>
      </c>
    </row>
    <row r="115" spans="1:9" x14ac:dyDescent="0.3">
      <c r="A115" s="43" t="s">
        <v>365</v>
      </c>
    </row>
    <row r="116" spans="1:9" s="42" customFormat="1" x14ac:dyDescent="0.3">
      <c r="A116" s="42">
        <f>COUNTA(A2:A113)</f>
        <v>112</v>
      </c>
      <c r="G116" s="3">
        <f>SUM(G2:G113)</f>
        <v>723</v>
      </c>
    </row>
    <row r="118" spans="1:9" x14ac:dyDescent="0.3">
      <c r="A118" s="43" t="s">
        <v>331</v>
      </c>
      <c r="B118" s="3">
        <f>AVERAGE(B2:B113)</f>
        <v>1186.8928571428571</v>
      </c>
      <c r="C118" s="3">
        <f>AVERAGE(C2:C113)</f>
        <v>1811.1071428571429</v>
      </c>
      <c r="E118" s="1">
        <f>AVERAGE(E2:E113)</f>
        <v>0.36776785714285715</v>
      </c>
      <c r="F118" s="3"/>
      <c r="H118" s="3">
        <f>AVERAGE(H2:H113)</f>
        <v>3.8894736842105258</v>
      </c>
      <c r="I118" s="3"/>
    </row>
    <row r="119" spans="1:9" x14ac:dyDescent="0.3">
      <c r="A119" s="2" t="s">
        <v>332</v>
      </c>
      <c r="B119" s="3" t="str">
        <f>INDEX(A2:A113,MATCH(MAX(B2:B113),B2:B119,0))</f>
        <v>32PCS Portable Cordless Drill Set With Cyclic Battery Drive -26 Variable Speed</v>
      </c>
    </row>
    <row r="120" spans="1:9" x14ac:dyDescent="0.3">
      <c r="A120" s="2" t="s">
        <v>333</v>
      </c>
      <c r="B120" s="3">
        <f>VLOOKUP(B119,A2:I113,2,FALSE)</f>
        <v>3750</v>
      </c>
    </row>
    <row r="122" spans="1:9" x14ac:dyDescent="0.3">
      <c r="A122" s="2" t="s">
        <v>334</v>
      </c>
      <c r="B122" s="3" t="str">
        <f>INDEX(A2:A113,MATCH(MIN(B2:B113),B2:B119,0))</f>
        <v>3PCS Single Head Knitting Crochet Sweater Needle Set</v>
      </c>
    </row>
    <row r="123" spans="1:9" x14ac:dyDescent="0.3">
      <c r="A123" s="2" t="s">
        <v>335</v>
      </c>
      <c r="B123" s="3">
        <f>VLOOKUP(B122,A2:I113,2,FALSE)</f>
        <v>38</v>
      </c>
    </row>
    <row r="125" spans="1:9" x14ac:dyDescent="0.3">
      <c r="A125" t="s">
        <v>340</v>
      </c>
      <c r="B125" s="1">
        <f>AVERAGEIF(F:F,"Low discount",E:E)</f>
        <v>7.2222222222222243E-2</v>
      </c>
    </row>
    <row r="126" spans="1:9" x14ac:dyDescent="0.3">
      <c r="A126" t="s">
        <v>341</v>
      </c>
      <c r="B126" s="1">
        <f>AVERAGEIF(F:F,"Medium discount",E:E)</f>
        <v>0.30709677419354831</v>
      </c>
    </row>
    <row r="127" spans="1:9" x14ac:dyDescent="0.3">
      <c r="A127" t="s">
        <v>342</v>
      </c>
      <c r="B127" s="1">
        <f>AVERAGEIF(F:F,"High discount",E:E)</f>
        <v>0.48206349206349181</v>
      </c>
    </row>
    <row r="128" spans="1:9" x14ac:dyDescent="0.3">
      <c r="A128"/>
      <c r="B128" s="1"/>
    </row>
    <row r="129" spans="1:2" x14ac:dyDescent="0.3">
      <c r="A129" t="s">
        <v>339</v>
      </c>
      <c r="B129" s="3">
        <f>AVERAGEIF(I:I,"Poor",H:H)</f>
        <v>2.3916666666666671</v>
      </c>
    </row>
    <row r="130" spans="1:2" x14ac:dyDescent="0.3">
      <c r="A130" t="s">
        <v>337</v>
      </c>
      <c r="B130" s="3">
        <f>AVERAGEIF(I:I,"Average",H:H)</f>
        <v>3.8090909090909082</v>
      </c>
    </row>
    <row r="131" spans="1:2" x14ac:dyDescent="0.3">
      <c r="A131" t="s">
        <v>338</v>
      </c>
      <c r="B131" s="3">
        <f>AVERAGEIF(I:I,"Excellent",H:H)</f>
        <v>4.7478260869565219</v>
      </c>
    </row>
  </sheetData>
  <autoFilter ref="A1:I113" xr:uid="{D54B5DEB-9E05-4771-8CDA-9063D7A751B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E00DA-E4BE-46A9-91A5-723B5A07A0B5}">
  <dimension ref="A1:B5"/>
  <sheetViews>
    <sheetView workbookViewId="0">
      <selection activeCell="C11" sqref="C11"/>
    </sheetView>
  </sheetViews>
  <sheetFormatPr defaultRowHeight="14.4" x14ac:dyDescent="0.3"/>
  <cols>
    <col min="1" max="1" width="15.109375" bestFit="1" customWidth="1"/>
    <col min="2" max="2" width="18.109375" bestFit="1" customWidth="1"/>
    <col min="3" max="3" width="15.88671875" bestFit="1" customWidth="1"/>
  </cols>
  <sheetData>
    <row r="1" spans="1:2" x14ac:dyDescent="0.3">
      <c r="A1" s="7" t="s">
        <v>343</v>
      </c>
      <c r="B1" t="s">
        <v>348</v>
      </c>
    </row>
    <row r="2" spans="1:2" x14ac:dyDescent="0.3">
      <c r="A2" s="8" t="s">
        <v>344</v>
      </c>
      <c r="B2" s="1">
        <v>0.48206349206349181</v>
      </c>
    </row>
    <row r="3" spans="1:2" x14ac:dyDescent="0.3">
      <c r="A3" s="8" t="s">
        <v>345</v>
      </c>
      <c r="B3" s="1">
        <v>7.2222222222222243E-2</v>
      </c>
    </row>
    <row r="4" spans="1:2" x14ac:dyDescent="0.3">
      <c r="A4" s="8" t="s">
        <v>346</v>
      </c>
      <c r="B4" s="1">
        <v>0.30709677419354831</v>
      </c>
    </row>
    <row r="5" spans="1:2" x14ac:dyDescent="0.3">
      <c r="A5" s="8" t="s">
        <v>347</v>
      </c>
      <c r="B5" s="1">
        <v>0.3677678571428572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47A1B-56F0-43DB-BBD3-819D40D955D2}">
  <dimension ref="A1:B5"/>
  <sheetViews>
    <sheetView workbookViewId="0">
      <selection activeCell="C9" sqref="C9"/>
    </sheetView>
  </sheetViews>
  <sheetFormatPr defaultRowHeight="14.4" x14ac:dyDescent="0.3"/>
  <cols>
    <col min="1" max="1" width="12.5546875" bestFit="1" customWidth="1"/>
    <col min="2" max="2" width="24.77734375" bestFit="1" customWidth="1"/>
  </cols>
  <sheetData>
    <row r="1" spans="1:2" x14ac:dyDescent="0.3">
      <c r="A1" s="7" t="s">
        <v>343</v>
      </c>
      <c r="B1" t="s">
        <v>352</v>
      </c>
    </row>
    <row r="2" spans="1:2" x14ac:dyDescent="0.3">
      <c r="A2" s="8" t="s">
        <v>350</v>
      </c>
      <c r="B2">
        <v>3.8090909090909082</v>
      </c>
    </row>
    <row r="3" spans="1:2" x14ac:dyDescent="0.3">
      <c r="A3" s="8" t="s">
        <v>351</v>
      </c>
      <c r="B3">
        <v>4.7478260869565219</v>
      </c>
    </row>
    <row r="4" spans="1:2" x14ac:dyDescent="0.3">
      <c r="A4" s="8" t="s">
        <v>349</v>
      </c>
      <c r="B4">
        <v>2.3916666666666666</v>
      </c>
    </row>
    <row r="5" spans="1:2" x14ac:dyDescent="0.3">
      <c r="A5" s="8" t="s">
        <v>347</v>
      </c>
      <c r="B5">
        <v>3.8894736842105244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F062-99A3-4275-9DE9-A0AB715F39C8}">
  <dimension ref="A1:B48"/>
  <sheetViews>
    <sheetView workbookViewId="0">
      <selection activeCell="D7" sqref="D7"/>
    </sheetView>
  </sheetViews>
  <sheetFormatPr defaultRowHeight="14.4" x14ac:dyDescent="0.3"/>
  <cols>
    <col min="1" max="1" width="12.5546875" bestFit="1" customWidth="1"/>
    <col min="2" max="2" width="14.88671875" bestFit="1" customWidth="1"/>
  </cols>
  <sheetData>
    <row r="1" spans="1:2" x14ac:dyDescent="0.3">
      <c r="A1" s="7" t="s">
        <v>343</v>
      </c>
      <c r="B1" t="s">
        <v>358</v>
      </c>
    </row>
    <row r="2" spans="1:2" x14ac:dyDescent="0.3">
      <c r="A2" s="22">
        <v>0.01</v>
      </c>
      <c r="B2" s="42">
        <v>1</v>
      </c>
    </row>
    <row r="3" spans="1:2" x14ac:dyDescent="0.3">
      <c r="A3" s="22">
        <v>0.02</v>
      </c>
      <c r="B3" s="42">
        <v>6</v>
      </c>
    </row>
    <row r="4" spans="1:2" x14ac:dyDescent="0.3">
      <c r="A4" s="22">
        <v>0.03</v>
      </c>
      <c r="B4" s="42">
        <v>1</v>
      </c>
    </row>
    <row r="5" spans="1:2" x14ac:dyDescent="0.3">
      <c r="A5" s="22">
        <v>0.04</v>
      </c>
      <c r="B5" s="42">
        <v>2</v>
      </c>
    </row>
    <row r="6" spans="1:2" x14ac:dyDescent="0.3">
      <c r="A6" s="22">
        <v>0.08</v>
      </c>
      <c r="B6" s="42">
        <v>1</v>
      </c>
    </row>
    <row r="7" spans="1:2" x14ac:dyDescent="0.3">
      <c r="A7" s="22">
        <v>0.09</v>
      </c>
      <c r="B7" s="42">
        <v>1</v>
      </c>
    </row>
    <row r="8" spans="1:2" x14ac:dyDescent="0.3">
      <c r="A8" s="22">
        <v>0.11</v>
      </c>
      <c r="B8" s="42">
        <v>1</v>
      </c>
    </row>
    <row r="9" spans="1:2" x14ac:dyDescent="0.3">
      <c r="A9" s="22">
        <v>0.13</v>
      </c>
      <c r="B9" s="42">
        <v>1</v>
      </c>
    </row>
    <row r="10" spans="1:2" x14ac:dyDescent="0.3">
      <c r="A10" s="22">
        <v>0.14000000000000001</v>
      </c>
      <c r="B10" s="42">
        <v>2</v>
      </c>
    </row>
    <row r="11" spans="1:2" x14ac:dyDescent="0.3">
      <c r="A11" s="22">
        <v>0.18</v>
      </c>
      <c r="B11" s="42">
        <v>1</v>
      </c>
    </row>
    <row r="12" spans="1:2" x14ac:dyDescent="0.3">
      <c r="A12" s="22">
        <v>0.19</v>
      </c>
      <c r="B12" s="42">
        <v>1</v>
      </c>
    </row>
    <row r="13" spans="1:2" x14ac:dyDescent="0.3">
      <c r="A13" s="22">
        <v>0.2</v>
      </c>
      <c r="B13" s="42">
        <v>1</v>
      </c>
    </row>
    <row r="14" spans="1:2" x14ac:dyDescent="0.3">
      <c r="A14" s="22">
        <v>0.21</v>
      </c>
      <c r="B14" s="42">
        <v>1</v>
      </c>
    </row>
    <row r="15" spans="1:2" x14ac:dyDescent="0.3">
      <c r="A15" s="22">
        <v>0.22</v>
      </c>
      <c r="B15" s="42">
        <v>2</v>
      </c>
    </row>
    <row r="16" spans="1:2" x14ac:dyDescent="0.3">
      <c r="A16" s="22">
        <v>0.23</v>
      </c>
      <c r="B16" s="42">
        <v>1</v>
      </c>
    </row>
    <row r="17" spans="1:2" x14ac:dyDescent="0.3">
      <c r="A17" s="22">
        <v>0.24</v>
      </c>
      <c r="B17" s="42">
        <v>2</v>
      </c>
    </row>
    <row r="18" spans="1:2" x14ac:dyDescent="0.3">
      <c r="A18" s="22">
        <v>0.25</v>
      </c>
      <c r="B18" s="42">
        <v>1</v>
      </c>
    </row>
    <row r="19" spans="1:2" x14ac:dyDescent="0.3">
      <c r="A19" s="22">
        <v>0.26</v>
      </c>
      <c r="B19" s="42">
        <v>1</v>
      </c>
    </row>
    <row r="20" spans="1:2" x14ac:dyDescent="0.3">
      <c r="A20" s="22">
        <v>0.27</v>
      </c>
      <c r="B20" s="42">
        <v>3</v>
      </c>
    </row>
    <row r="21" spans="1:2" x14ac:dyDescent="0.3">
      <c r="A21" s="22">
        <v>0.28999999999999998</v>
      </c>
      <c r="B21" s="42">
        <v>1</v>
      </c>
    </row>
    <row r="22" spans="1:2" x14ac:dyDescent="0.3">
      <c r="A22" s="22">
        <v>0.3</v>
      </c>
      <c r="B22" s="42">
        <v>1</v>
      </c>
    </row>
    <row r="23" spans="1:2" x14ac:dyDescent="0.3">
      <c r="A23" s="22">
        <v>0.32</v>
      </c>
      <c r="B23" s="42">
        <v>1</v>
      </c>
    </row>
    <row r="24" spans="1:2" x14ac:dyDescent="0.3">
      <c r="A24" s="22">
        <v>0.33</v>
      </c>
      <c r="B24" s="42">
        <v>2</v>
      </c>
    </row>
    <row r="25" spans="1:2" x14ac:dyDescent="0.3">
      <c r="A25" s="22">
        <v>0.34</v>
      </c>
      <c r="B25" s="42">
        <v>4</v>
      </c>
    </row>
    <row r="26" spans="1:2" x14ac:dyDescent="0.3">
      <c r="A26" s="22">
        <v>0.35</v>
      </c>
      <c r="B26" s="42">
        <v>2</v>
      </c>
    </row>
    <row r="27" spans="1:2" x14ac:dyDescent="0.3">
      <c r="A27" s="22">
        <v>0.36</v>
      </c>
      <c r="B27" s="42">
        <v>1</v>
      </c>
    </row>
    <row r="28" spans="1:2" x14ac:dyDescent="0.3">
      <c r="A28" s="22">
        <v>0.37</v>
      </c>
      <c r="B28" s="42">
        <v>2</v>
      </c>
    </row>
    <row r="29" spans="1:2" x14ac:dyDescent="0.3">
      <c r="A29" s="22">
        <v>0.38</v>
      </c>
      <c r="B29" s="42">
        <v>4</v>
      </c>
    </row>
    <row r="30" spans="1:2" x14ac:dyDescent="0.3">
      <c r="A30" s="22">
        <v>0.39</v>
      </c>
      <c r="B30" s="42">
        <v>1</v>
      </c>
    </row>
    <row r="31" spans="1:2" x14ac:dyDescent="0.3">
      <c r="A31" s="22">
        <v>0.4</v>
      </c>
      <c r="B31" s="42">
        <v>1</v>
      </c>
    </row>
    <row r="32" spans="1:2" x14ac:dyDescent="0.3">
      <c r="A32" s="22">
        <v>0.41</v>
      </c>
      <c r="B32" s="42">
        <v>3</v>
      </c>
    </row>
    <row r="33" spans="1:2" x14ac:dyDescent="0.3">
      <c r="A33" s="22">
        <v>0.42</v>
      </c>
      <c r="B33" s="42">
        <v>4</v>
      </c>
    </row>
    <row r="34" spans="1:2" x14ac:dyDescent="0.3">
      <c r="A34" s="22">
        <v>0.43</v>
      </c>
      <c r="B34" s="42">
        <v>4</v>
      </c>
    </row>
    <row r="35" spans="1:2" x14ac:dyDescent="0.3">
      <c r="A35" s="22">
        <v>0.45</v>
      </c>
      <c r="B35" s="42">
        <v>4</v>
      </c>
    </row>
    <row r="36" spans="1:2" x14ac:dyDescent="0.3">
      <c r="A36" s="22">
        <v>0.46</v>
      </c>
      <c r="B36" s="42">
        <v>3</v>
      </c>
    </row>
    <row r="37" spans="1:2" x14ac:dyDescent="0.3">
      <c r="A37" s="22">
        <v>0.47</v>
      </c>
      <c r="B37" s="42">
        <v>7</v>
      </c>
    </row>
    <row r="38" spans="1:2" x14ac:dyDescent="0.3">
      <c r="A38" s="22">
        <v>0.48</v>
      </c>
      <c r="B38" s="42">
        <v>4</v>
      </c>
    </row>
    <row r="39" spans="1:2" x14ac:dyDescent="0.3">
      <c r="A39" s="22">
        <v>0.49</v>
      </c>
      <c r="B39" s="42">
        <v>14</v>
      </c>
    </row>
    <row r="40" spans="1:2" x14ac:dyDescent="0.3">
      <c r="A40" s="22">
        <v>0.5</v>
      </c>
      <c r="B40" s="42">
        <v>7</v>
      </c>
    </row>
    <row r="41" spans="1:2" x14ac:dyDescent="0.3">
      <c r="A41" s="22">
        <v>0.51</v>
      </c>
      <c r="B41" s="42">
        <v>1</v>
      </c>
    </row>
    <row r="42" spans="1:2" x14ac:dyDescent="0.3">
      <c r="A42" s="22">
        <v>0.52</v>
      </c>
      <c r="B42" s="42">
        <v>2</v>
      </c>
    </row>
    <row r="43" spans="1:2" x14ac:dyDescent="0.3">
      <c r="A43" s="22">
        <v>0.53</v>
      </c>
      <c r="B43" s="42">
        <v>2</v>
      </c>
    </row>
    <row r="44" spans="1:2" x14ac:dyDescent="0.3">
      <c r="A44" s="22">
        <v>0.54</v>
      </c>
      <c r="B44" s="42">
        <v>2</v>
      </c>
    </row>
    <row r="45" spans="1:2" x14ac:dyDescent="0.3">
      <c r="A45" s="22">
        <v>0.55000000000000004</v>
      </c>
      <c r="B45" s="42">
        <v>3</v>
      </c>
    </row>
    <row r="46" spans="1:2" x14ac:dyDescent="0.3">
      <c r="A46" s="22">
        <v>0.61</v>
      </c>
      <c r="B46" s="42">
        <v>1</v>
      </c>
    </row>
    <row r="47" spans="1:2" x14ac:dyDescent="0.3">
      <c r="A47" s="22">
        <v>0.64</v>
      </c>
      <c r="B47" s="42">
        <v>1</v>
      </c>
    </row>
    <row r="48" spans="1:2" x14ac:dyDescent="0.3">
      <c r="A48" s="22" t="s">
        <v>347</v>
      </c>
      <c r="B48" s="42">
        <v>112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7EDF6-D178-43FA-ACCE-BA9CFFA36770}">
  <dimension ref="A1:B24"/>
  <sheetViews>
    <sheetView workbookViewId="0">
      <selection activeCell="D9" sqref="D9"/>
    </sheetView>
  </sheetViews>
  <sheetFormatPr defaultRowHeight="14.4" x14ac:dyDescent="0.3"/>
  <cols>
    <col min="1" max="1" width="12.5546875" bestFit="1" customWidth="1"/>
    <col min="2" max="2" width="14.88671875" bestFit="1" customWidth="1"/>
  </cols>
  <sheetData>
    <row r="1" spans="1:2" x14ac:dyDescent="0.3">
      <c r="A1" s="7" t="s">
        <v>343</v>
      </c>
      <c r="B1" t="s">
        <v>358</v>
      </c>
    </row>
    <row r="2" spans="1:2" x14ac:dyDescent="0.3">
      <c r="A2" s="8">
        <v>2</v>
      </c>
      <c r="B2" s="42">
        <v>1</v>
      </c>
    </row>
    <row r="3" spans="1:2" x14ac:dyDescent="0.3">
      <c r="A3" s="8">
        <v>2.1</v>
      </c>
      <c r="B3" s="42">
        <v>2</v>
      </c>
    </row>
    <row r="4" spans="1:2" x14ac:dyDescent="0.3">
      <c r="A4" s="8">
        <v>2.2000000000000002</v>
      </c>
      <c r="B4" s="42">
        <v>2</v>
      </c>
    </row>
    <row r="5" spans="1:2" x14ac:dyDescent="0.3">
      <c r="A5" s="8">
        <v>2.2999999999999998</v>
      </c>
      <c r="B5" s="42">
        <v>2</v>
      </c>
    </row>
    <row r="6" spans="1:2" x14ac:dyDescent="0.3">
      <c r="A6" s="8">
        <v>2.5</v>
      </c>
      <c r="B6" s="42">
        <v>1</v>
      </c>
    </row>
    <row r="7" spans="1:2" x14ac:dyDescent="0.3">
      <c r="A7" s="8">
        <v>2.6</v>
      </c>
      <c r="B7" s="42">
        <v>1</v>
      </c>
    </row>
    <row r="8" spans="1:2" x14ac:dyDescent="0.3">
      <c r="A8" s="8">
        <v>2.7</v>
      </c>
      <c r="B8" s="42">
        <v>1</v>
      </c>
    </row>
    <row r="9" spans="1:2" x14ac:dyDescent="0.3">
      <c r="A9" s="8">
        <v>2.8</v>
      </c>
      <c r="B9" s="42">
        <v>1</v>
      </c>
    </row>
    <row r="10" spans="1:2" x14ac:dyDescent="0.3">
      <c r="A10" s="8">
        <v>2.9</v>
      </c>
      <c r="B10" s="42">
        <v>1</v>
      </c>
    </row>
    <row r="11" spans="1:2" x14ac:dyDescent="0.3">
      <c r="A11" s="8">
        <v>3</v>
      </c>
      <c r="B11" s="42">
        <v>5</v>
      </c>
    </row>
    <row r="12" spans="1:2" x14ac:dyDescent="0.3">
      <c r="A12" s="8">
        <v>3.3</v>
      </c>
      <c r="B12" s="42">
        <v>1</v>
      </c>
    </row>
    <row r="13" spans="1:2" x14ac:dyDescent="0.3">
      <c r="A13" s="8">
        <v>3.8</v>
      </c>
      <c r="B13" s="42">
        <v>3</v>
      </c>
    </row>
    <row r="14" spans="1:2" x14ac:dyDescent="0.3">
      <c r="A14" s="8">
        <v>4</v>
      </c>
      <c r="B14" s="42">
        <v>4</v>
      </c>
    </row>
    <row r="15" spans="1:2" x14ac:dyDescent="0.3">
      <c r="A15" s="8">
        <v>4.0999999999999996</v>
      </c>
      <c r="B15" s="42">
        <v>3</v>
      </c>
    </row>
    <row r="16" spans="1:2" x14ac:dyDescent="0.3">
      <c r="A16" s="8">
        <v>4.2</v>
      </c>
      <c r="B16" s="42">
        <v>1</v>
      </c>
    </row>
    <row r="17" spans="1:2" x14ac:dyDescent="0.3">
      <c r="A17" s="8">
        <v>4.3</v>
      </c>
      <c r="B17" s="42">
        <v>4</v>
      </c>
    </row>
    <row r="18" spans="1:2" x14ac:dyDescent="0.3">
      <c r="A18" s="8">
        <v>4.4000000000000004</v>
      </c>
      <c r="B18" s="42">
        <v>1</v>
      </c>
    </row>
    <row r="19" spans="1:2" x14ac:dyDescent="0.3">
      <c r="A19" s="8">
        <v>4.5</v>
      </c>
      <c r="B19" s="42">
        <v>4</v>
      </c>
    </row>
    <row r="20" spans="1:2" x14ac:dyDescent="0.3">
      <c r="A20" s="8">
        <v>4.5999999999999996</v>
      </c>
      <c r="B20" s="42">
        <v>5</v>
      </c>
    </row>
    <row r="21" spans="1:2" x14ac:dyDescent="0.3">
      <c r="A21" s="8">
        <v>4.7</v>
      </c>
      <c r="B21" s="42">
        <v>4</v>
      </c>
    </row>
    <row r="22" spans="1:2" x14ac:dyDescent="0.3">
      <c r="A22" s="8">
        <v>4.8</v>
      </c>
      <c r="B22" s="42">
        <v>3</v>
      </c>
    </row>
    <row r="23" spans="1:2" x14ac:dyDescent="0.3">
      <c r="A23" s="8">
        <v>5</v>
      </c>
      <c r="B23" s="42">
        <v>7</v>
      </c>
    </row>
    <row r="24" spans="1:2" x14ac:dyDescent="0.3">
      <c r="A24" s="8" t="s">
        <v>347</v>
      </c>
      <c r="B24" s="42">
        <v>57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ED494-3671-41C4-BC50-C0C63A4BACF2}">
  <dimension ref="B2:C113"/>
  <sheetViews>
    <sheetView workbookViewId="0">
      <selection activeCell="B15" sqref="B15"/>
    </sheetView>
  </sheetViews>
  <sheetFormatPr defaultRowHeight="14.4" x14ac:dyDescent="0.3"/>
  <cols>
    <col min="2" max="2" width="87.88671875" bestFit="1" customWidth="1"/>
    <col min="3" max="3" width="21.6640625" bestFit="1" customWidth="1"/>
  </cols>
  <sheetData>
    <row r="2" spans="2:3" ht="18" x14ac:dyDescent="0.35">
      <c r="B2" s="44" t="s">
        <v>369</v>
      </c>
      <c r="C2" s="44"/>
    </row>
    <row r="3" spans="2:3" x14ac:dyDescent="0.3">
      <c r="B3" s="7" t="s">
        <v>343</v>
      </c>
      <c r="C3" t="s">
        <v>359</v>
      </c>
    </row>
    <row r="4" spans="2:3" x14ac:dyDescent="0.3">
      <c r="B4" s="8" t="s">
        <v>125</v>
      </c>
      <c r="C4" s="42">
        <v>4.5</v>
      </c>
    </row>
    <row r="5" spans="2:3" x14ac:dyDescent="0.3">
      <c r="B5" s="8" t="s">
        <v>44</v>
      </c>
      <c r="C5" s="42">
        <v>4.7</v>
      </c>
    </row>
    <row r="6" spans="2:3" x14ac:dyDescent="0.3">
      <c r="B6" s="8" t="s">
        <v>6</v>
      </c>
      <c r="C6" s="42">
        <v>4.5</v>
      </c>
    </row>
    <row r="7" spans="2:3" x14ac:dyDescent="0.3">
      <c r="B7" s="8" t="s">
        <v>95</v>
      </c>
      <c r="C7" s="42">
        <v>3.8</v>
      </c>
    </row>
    <row r="8" spans="2:3" x14ac:dyDescent="0.3">
      <c r="B8" s="8" t="s">
        <v>105</v>
      </c>
      <c r="C8" s="42">
        <v>4.7</v>
      </c>
    </row>
    <row r="9" spans="2:3" x14ac:dyDescent="0.3">
      <c r="B9" s="8" t="s">
        <v>194</v>
      </c>
      <c r="C9" s="42">
        <v>2.8</v>
      </c>
    </row>
    <row r="10" spans="2:3" x14ac:dyDescent="0.3">
      <c r="B10" s="8" t="s">
        <v>177</v>
      </c>
      <c r="C10" s="42">
        <v>0</v>
      </c>
    </row>
    <row r="11" spans="2:3" x14ac:dyDescent="0.3">
      <c r="B11" s="8" t="s">
        <v>38</v>
      </c>
      <c r="C11" s="42">
        <v>3.8</v>
      </c>
    </row>
    <row r="12" spans="2:3" x14ac:dyDescent="0.3">
      <c r="B12" s="8" t="s">
        <v>30</v>
      </c>
      <c r="C12" s="42">
        <v>4.5999999999999996</v>
      </c>
    </row>
    <row r="13" spans="2:3" x14ac:dyDescent="0.3">
      <c r="B13" s="8" t="s">
        <v>304</v>
      </c>
      <c r="C13" s="42">
        <v>0</v>
      </c>
    </row>
    <row r="14" spans="2:3" x14ac:dyDescent="0.3">
      <c r="B14" s="8" t="s">
        <v>251</v>
      </c>
      <c r="C14" s="42">
        <v>0</v>
      </c>
    </row>
    <row r="15" spans="2:3" x14ac:dyDescent="0.3">
      <c r="B15" s="8" t="s">
        <v>26</v>
      </c>
      <c r="C15" s="42">
        <v>4</v>
      </c>
    </row>
    <row r="16" spans="2:3" x14ac:dyDescent="0.3">
      <c r="B16" s="8" t="s">
        <v>301</v>
      </c>
      <c r="C16" s="42">
        <v>0</v>
      </c>
    </row>
    <row r="17" spans="2:3" x14ac:dyDescent="0.3">
      <c r="B17" s="8" t="s">
        <v>278</v>
      </c>
      <c r="C17" s="42">
        <v>0</v>
      </c>
    </row>
    <row r="18" spans="2:3" x14ac:dyDescent="0.3">
      <c r="B18" s="8" t="s">
        <v>151</v>
      </c>
      <c r="C18" s="42">
        <v>0</v>
      </c>
    </row>
    <row r="19" spans="2:3" x14ac:dyDescent="0.3">
      <c r="B19" s="8" t="s">
        <v>232</v>
      </c>
      <c r="C19" s="42">
        <v>0</v>
      </c>
    </row>
    <row r="20" spans="2:3" x14ac:dyDescent="0.3">
      <c r="B20" s="8" t="s">
        <v>212</v>
      </c>
      <c r="C20" s="42">
        <v>3</v>
      </c>
    </row>
    <row r="21" spans="2:3" x14ac:dyDescent="0.3">
      <c r="B21" s="8" t="s">
        <v>209</v>
      </c>
      <c r="C21" s="42">
        <v>2.2999999999999998</v>
      </c>
    </row>
    <row r="22" spans="2:3" x14ac:dyDescent="0.3">
      <c r="B22" s="8" t="s">
        <v>68</v>
      </c>
      <c r="C22" s="42">
        <v>4.5999999999999996</v>
      </c>
    </row>
    <row r="23" spans="2:3" x14ac:dyDescent="0.3">
      <c r="B23" s="8" t="s">
        <v>235</v>
      </c>
      <c r="C23" s="42">
        <v>0</v>
      </c>
    </row>
    <row r="24" spans="2:3" x14ac:dyDescent="0.3">
      <c r="B24" s="8" t="s">
        <v>71</v>
      </c>
      <c r="C24" s="42">
        <v>3.3</v>
      </c>
    </row>
    <row r="25" spans="2:3" x14ac:dyDescent="0.3">
      <c r="B25" s="8" t="s">
        <v>284</v>
      </c>
      <c r="C25" s="42">
        <v>0</v>
      </c>
    </row>
    <row r="26" spans="2:3" x14ac:dyDescent="0.3">
      <c r="B26" s="8" t="s">
        <v>47</v>
      </c>
      <c r="C26" s="42">
        <v>4.8</v>
      </c>
    </row>
    <row r="27" spans="2:3" x14ac:dyDescent="0.3">
      <c r="B27" s="8" t="s">
        <v>131</v>
      </c>
      <c r="C27" s="42">
        <v>0</v>
      </c>
    </row>
    <row r="28" spans="2:3" x14ac:dyDescent="0.3">
      <c r="B28" s="8" t="s">
        <v>75</v>
      </c>
      <c r="C28" s="42">
        <v>0</v>
      </c>
    </row>
    <row r="29" spans="2:3" x14ac:dyDescent="0.3">
      <c r="B29" s="8" t="s">
        <v>182</v>
      </c>
      <c r="C29" s="42">
        <v>2.5</v>
      </c>
    </row>
    <row r="30" spans="2:3" x14ac:dyDescent="0.3">
      <c r="B30" s="8" t="s">
        <v>97</v>
      </c>
      <c r="C30" s="42">
        <v>4.0999999999999996</v>
      </c>
    </row>
    <row r="31" spans="2:3" x14ac:dyDescent="0.3">
      <c r="B31" s="8" t="s">
        <v>114</v>
      </c>
      <c r="C31" s="42">
        <v>4.5</v>
      </c>
    </row>
    <row r="32" spans="2:3" x14ac:dyDescent="0.3">
      <c r="B32" s="8" t="s">
        <v>111</v>
      </c>
      <c r="C32" s="42">
        <v>4.7</v>
      </c>
    </row>
    <row r="33" spans="2:3" x14ac:dyDescent="0.3">
      <c r="B33" s="8" t="s">
        <v>248</v>
      </c>
      <c r="C33" s="42">
        <v>0</v>
      </c>
    </row>
    <row r="34" spans="2:3" x14ac:dyDescent="0.3">
      <c r="B34" s="8" t="s">
        <v>190</v>
      </c>
      <c r="C34" s="42">
        <v>2.1</v>
      </c>
    </row>
    <row r="35" spans="2:3" x14ac:dyDescent="0.3">
      <c r="B35" s="8" t="s">
        <v>316</v>
      </c>
      <c r="C35" s="42">
        <v>0</v>
      </c>
    </row>
    <row r="36" spans="2:3" x14ac:dyDescent="0.3">
      <c r="B36" s="8" t="s">
        <v>277</v>
      </c>
      <c r="C36" s="42">
        <v>0</v>
      </c>
    </row>
    <row r="37" spans="2:3" x14ac:dyDescent="0.3">
      <c r="B37" s="8" t="s">
        <v>145</v>
      </c>
      <c r="C37" s="42">
        <v>0</v>
      </c>
    </row>
    <row r="38" spans="2:3" x14ac:dyDescent="0.3">
      <c r="B38" s="8" t="s">
        <v>240</v>
      </c>
      <c r="C38" s="42">
        <v>0</v>
      </c>
    </row>
    <row r="39" spans="2:3" x14ac:dyDescent="0.3">
      <c r="B39" s="8" t="s">
        <v>227</v>
      </c>
      <c r="C39" s="42">
        <v>2.2000000000000002</v>
      </c>
    </row>
    <row r="40" spans="2:3" x14ac:dyDescent="0.3">
      <c r="B40" s="8" t="s">
        <v>292</v>
      </c>
      <c r="C40" s="42">
        <v>0</v>
      </c>
    </row>
    <row r="41" spans="2:3" x14ac:dyDescent="0.3">
      <c r="B41" s="8" t="s">
        <v>298</v>
      </c>
      <c r="C41" s="42">
        <v>0</v>
      </c>
    </row>
    <row r="42" spans="2:3" x14ac:dyDescent="0.3">
      <c r="B42" s="8" t="s">
        <v>215</v>
      </c>
      <c r="C42" s="42">
        <v>2.6</v>
      </c>
    </row>
    <row r="43" spans="2:3" x14ac:dyDescent="0.3">
      <c r="B43" s="8" t="s">
        <v>175</v>
      </c>
      <c r="C43" s="42">
        <v>0</v>
      </c>
    </row>
    <row r="44" spans="2:3" x14ac:dyDescent="0.3">
      <c r="B44" s="8" t="s">
        <v>56</v>
      </c>
      <c r="C44" s="42">
        <v>5</v>
      </c>
    </row>
    <row r="45" spans="2:3" x14ac:dyDescent="0.3">
      <c r="B45" s="8" t="s">
        <v>206</v>
      </c>
      <c r="C45" s="42">
        <v>2.2000000000000002</v>
      </c>
    </row>
    <row r="46" spans="2:3" x14ac:dyDescent="0.3">
      <c r="B46" s="8" t="s">
        <v>289</v>
      </c>
      <c r="C46" s="42">
        <v>0</v>
      </c>
    </row>
    <row r="47" spans="2:3" x14ac:dyDescent="0.3">
      <c r="B47" s="8" t="s">
        <v>137</v>
      </c>
      <c r="C47" s="42">
        <v>0</v>
      </c>
    </row>
    <row r="48" spans="2:3" x14ac:dyDescent="0.3">
      <c r="B48" s="8" t="s">
        <v>245</v>
      </c>
      <c r="C48" s="42">
        <v>5</v>
      </c>
    </row>
    <row r="49" spans="2:3" x14ac:dyDescent="0.3">
      <c r="B49" s="8" t="s">
        <v>320</v>
      </c>
      <c r="C49" s="42">
        <v>0</v>
      </c>
    </row>
    <row r="50" spans="2:3" x14ac:dyDescent="0.3">
      <c r="B50" s="8" t="s">
        <v>157</v>
      </c>
      <c r="C50" s="42">
        <v>0</v>
      </c>
    </row>
    <row r="51" spans="2:3" x14ac:dyDescent="0.3">
      <c r="B51" s="8" t="s">
        <v>148</v>
      </c>
      <c r="C51" s="42">
        <v>0</v>
      </c>
    </row>
    <row r="52" spans="2:3" x14ac:dyDescent="0.3">
      <c r="B52" s="8" t="s">
        <v>258</v>
      </c>
      <c r="C52" s="42">
        <v>0</v>
      </c>
    </row>
    <row r="53" spans="2:3" x14ac:dyDescent="0.3">
      <c r="B53" s="8" t="s">
        <v>310</v>
      </c>
      <c r="C53" s="42">
        <v>0</v>
      </c>
    </row>
    <row r="54" spans="2:3" x14ac:dyDescent="0.3">
      <c r="B54" s="8" t="s">
        <v>143</v>
      </c>
      <c r="C54" s="42">
        <v>0</v>
      </c>
    </row>
    <row r="55" spans="2:3" x14ac:dyDescent="0.3">
      <c r="B55" s="8" t="s">
        <v>173</v>
      </c>
      <c r="C55" s="42">
        <v>0</v>
      </c>
    </row>
    <row r="56" spans="2:3" x14ac:dyDescent="0.3">
      <c r="B56" s="8" t="s">
        <v>120</v>
      </c>
      <c r="C56" s="42">
        <v>5</v>
      </c>
    </row>
    <row r="57" spans="2:3" x14ac:dyDescent="0.3">
      <c r="B57" s="8" t="s">
        <v>154</v>
      </c>
      <c r="C57" s="42">
        <v>0</v>
      </c>
    </row>
    <row r="58" spans="2:3" x14ac:dyDescent="0.3">
      <c r="B58" s="8" t="s">
        <v>237</v>
      </c>
      <c r="C58" s="42">
        <v>0</v>
      </c>
    </row>
    <row r="59" spans="2:3" x14ac:dyDescent="0.3">
      <c r="B59" s="8" t="s">
        <v>168</v>
      </c>
      <c r="C59" s="42">
        <v>0</v>
      </c>
    </row>
    <row r="60" spans="2:3" x14ac:dyDescent="0.3">
      <c r="B60" s="8" t="s">
        <v>33</v>
      </c>
      <c r="C60" s="42">
        <v>4</v>
      </c>
    </row>
    <row r="61" spans="2:3" x14ac:dyDescent="0.3">
      <c r="B61" s="8" t="s">
        <v>117</v>
      </c>
      <c r="C61" s="42">
        <v>5</v>
      </c>
    </row>
    <row r="62" spans="2:3" x14ac:dyDescent="0.3">
      <c r="B62" s="8" t="s">
        <v>229</v>
      </c>
      <c r="C62" s="42">
        <v>2.1</v>
      </c>
    </row>
    <row r="63" spans="2:3" x14ac:dyDescent="0.3">
      <c r="B63" s="8" t="s">
        <v>89</v>
      </c>
      <c r="C63" s="42">
        <v>4.5999999999999996</v>
      </c>
    </row>
    <row r="64" spans="2:3" x14ac:dyDescent="0.3">
      <c r="B64" s="8" t="s">
        <v>102</v>
      </c>
      <c r="C64" s="42">
        <v>4.3</v>
      </c>
    </row>
    <row r="65" spans="2:3" x14ac:dyDescent="0.3">
      <c r="B65" s="8" t="s">
        <v>81</v>
      </c>
      <c r="C65" s="42">
        <v>4.4000000000000004</v>
      </c>
    </row>
    <row r="66" spans="2:3" x14ac:dyDescent="0.3">
      <c r="B66" s="8" t="s">
        <v>42</v>
      </c>
      <c r="C66" s="42">
        <v>4.0999999999999996</v>
      </c>
    </row>
    <row r="67" spans="2:3" x14ac:dyDescent="0.3">
      <c r="B67" s="8" t="s">
        <v>253</v>
      </c>
      <c r="C67" s="42">
        <v>4</v>
      </c>
    </row>
    <row r="68" spans="2:3" x14ac:dyDescent="0.3">
      <c r="B68" s="8" t="s">
        <v>198</v>
      </c>
      <c r="C68" s="42">
        <v>2.7</v>
      </c>
    </row>
    <row r="69" spans="2:3" x14ac:dyDescent="0.3">
      <c r="B69" s="8" t="s">
        <v>295</v>
      </c>
      <c r="C69" s="42">
        <v>5</v>
      </c>
    </row>
    <row r="70" spans="2:3" x14ac:dyDescent="0.3">
      <c r="B70" s="8" t="s">
        <v>218</v>
      </c>
      <c r="C70" s="42">
        <v>3</v>
      </c>
    </row>
    <row r="71" spans="2:3" x14ac:dyDescent="0.3">
      <c r="B71" s="8" t="s">
        <v>85</v>
      </c>
      <c r="C71" s="42">
        <v>4.3</v>
      </c>
    </row>
    <row r="72" spans="2:3" x14ac:dyDescent="0.3">
      <c r="B72" s="8" t="s">
        <v>63</v>
      </c>
      <c r="C72" s="42">
        <v>5</v>
      </c>
    </row>
    <row r="73" spans="2:3" x14ac:dyDescent="0.3">
      <c r="B73" s="8" t="s">
        <v>50</v>
      </c>
      <c r="C73" s="42">
        <v>4.5</v>
      </c>
    </row>
    <row r="74" spans="2:3" x14ac:dyDescent="0.3">
      <c r="B74" s="8" t="s">
        <v>35</v>
      </c>
      <c r="C74" s="42">
        <v>4.8</v>
      </c>
    </row>
    <row r="75" spans="2:3" x14ac:dyDescent="0.3">
      <c r="B75" s="8" t="s">
        <v>128</v>
      </c>
      <c r="C75" s="42">
        <v>0</v>
      </c>
    </row>
    <row r="76" spans="2:3" x14ac:dyDescent="0.3">
      <c r="B76" s="8" t="s">
        <v>108</v>
      </c>
      <c r="C76" s="42">
        <v>4.3</v>
      </c>
    </row>
    <row r="77" spans="2:3" x14ac:dyDescent="0.3">
      <c r="B77" s="8" t="s">
        <v>78</v>
      </c>
      <c r="C77" s="42">
        <v>4</v>
      </c>
    </row>
    <row r="78" spans="2:3" x14ac:dyDescent="0.3">
      <c r="B78" s="8" t="s">
        <v>307</v>
      </c>
      <c r="C78" s="42">
        <v>0</v>
      </c>
    </row>
    <row r="79" spans="2:3" x14ac:dyDescent="0.3">
      <c r="B79" s="8" t="s">
        <v>66</v>
      </c>
      <c r="C79" s="42">
        <v>4.5999999999999996</v>
      </c>
    </row>
    <row r="80" spans="2:3" x14ac:dyDescent="0.3">
      <c r="B80" s="8" t="s">
        <v>243</v>
      </c>
      <c r="C80" s="42">
        <v>3</v>
      </c>
    </row>
    <row r="81" spans="2:3" x14ac:dyDescent="0.3">
      <c r="B81" s="8" t="s">
        <v>10</v>
      </c>
      <c r="C81" s="42">
        <v>4.0999999999999996</v>
      </c>
    </row>
    <row r="82" spans="2:3" x14ac:dyDescent="0.3">
      <c r="B82" s="8" t="s">
        <v>287</v>
      </c>
      <c r="C82" s="42">
        <v>0</v>
      </c>
    </row>
    <row r="83" spans="2:3" x14ac:dyDescent="0.3">
      <c r="B83" s="8" t="s">
        <v>134</v>
      </c>
      <c r="C83" s="42">
        <v>0</v>
      </c>
    </row>
    <row r="84" spans="2:3" x14ac:dyDescent="0.3">
      <c r="B84" s="8" t="s">
        <v>53</v>
      </c>
      <c r="C84" s="42">
        <v>4.2</v>
      </c>
    </row>
    <row r="85" spans="2:3" x14ac:dyDescent="0.3">
      <c r="B85" s="8" t="s">
        <v>266</v>
      </c>
      <c r="C85" s="42">
        <v>0</v>
      </c>
    </row>
    <row r="86" spans="2:3" x14ac:dyDescent="0.3">
      <c r="B86" s="8" t="s">
        <v>99</v>
      </c>
      <c r="C86" s="42">
        <v>0</v>
      </c>
    </row>
    <row r="87" spans="2:3" x14ac:dyDescent="0.3">
      <c r="B87" s="8" t="s">
        <v>165</v>
      </c>
      <c r="C87" s="42">
        <v>0</v>
      </c>
    </row>
    <row r="88" spans="2:3" x14ac:dyDescent="0.3">
      <c r="B88" s="8" t="s">
        <v>186</v>
      </c>
      <c r="C88" s="42">
        <v>3</v>
      </c>
    </row>
    <row r="89" spans="2:3" x14ac:dyDescent="0.3">
      <c r="B89" s="8" t="s">
        <v>256</v>
      </c>
      <c r="C89" s="42">
        <v>0</v>
      </c>
    </row>
    <row r="90" spans="2:3" x14ac:dyDescent="0.3">
      <c r="B90" s="8" t="s">
        <v>261</v>
      </c>
      <c r="C90" s="42">
        <v>0</v>
      </c>
    </row>
    <row r="91" spans="2:3" x14ac:dyDescent="0.3">
      <c r="B91" s="8" t="s">
        <v>60</v>
      </c>
      <c r="C91" s="42">
        <v>5</v>
      </c>
    </row>
    <row r="92" spans="2:3" x14ac:dyDescent="0.3">
      <c r="B92" s="8" t="s">
        <v>160</v>
      </c>
      <c r="C92" s="42">
        <v>0</v>
      </c>
    </row>
    <row r="93" spans="2:3" x14ac:dyDescent="0.3">
      <c r="B93" s="8" t="s">
        <v>163</v>
      </c>
      <c r="C93" s="42">
        <v>0</v>
      </c>
    </row>
    <row r="94" spans="2:3" x14ac:dyDescent="0.3">
      <c r="B94" s="8" t="s">
        <v>22</v>
      </c>
      <c r="C94" s="42">
        <v>4.8</v>
      </c>
    </row>
    <row r="95" spans="2:3" x14ac:dyDescent="0.3">
      <c r="B95" s="8" t="s">
        <v>14</v>
      </c>
      <c r="C95" s="42">
        <v>4.5999999999999996</v>
      </c>
    </row>
    <row r="96" spans="2:3" x14ac:dyDescent="0.3">
      <c r="B96" s="8" t="s">
        <v>282</v>
      </c>
      <c r="C96" s="42">
        <v>0</v>
      </c>
    </row>
    <row r="97" spans="2:3" x14ac:dyDescent="0.3">
      <c r="B97" s="8" t="s">
        <v>92</v>
      </c>
      <c r="C97" s="42">
        <v>3.8</v>
      </c>
    </row>
    <row r="98" spans="2:3" x14ac:dyDescent="0.3">
      <c r="B98" s="8" t="s">
        <v>272</v>
      </c>
      <c r="C98" s="42">
        <v>0</v>
      </c>
    </row>
    <row r="99" spans="2:3" x14ac:dyDescent="0.3">
      <c r="B99" s="8" t="s">
        <v>122</v>
      </c>
      <c r="C99" s="42">
        <v>4.3</v>
      </c>
    </row>
    <row r="100" spans="2:3" x14ac:dyDescent="0.3">
      <c r="B100" s="8" t="s">
        <v>274</v>
      </c>
      <c r="C100" s="42">
        <v>0</v>
      </c>
    </row>
    <row r="101" spans="2:3" x14ac:dyDescent="0.3">
      <c r="B101" s="8" t="s">
        <v>140</v>
      </c>
      <c r="C101" s="42">
        <v>0</v>
      </c>
    </row>
    <row r="102" spans="2:3" x14ac:dyDescent="0.3">
      <c r="B102" s="8" t="s">
        <v>312</v>
      </c>
      <c r="C102" s="42">
        <v>0</v>
      </c>
    </row>
    <row r="103" spans="2:3" x14ac:dyDescent="0.3">
      <c r="B103" s="8" t="s">
        <v>170</v>
      </c>
      <c r="C103" s="42">
        <v>0</v>
      </c>
    </row>
    <row r="104" spans="2:3" x14ac:dyDescent="0.3">
      <c r="B104" s="8" t="s">
        <v>314</v>
      </c>
      <c r="C104" s="42">
        <v>0</v>
      </c>
    </row>
    <row r="105" spans="2:3" x14ac:dyDescent="0.3">
      <c r="B105" s="8" t="s">
        <v>202</v>
      </c>
      <c r="C105" s="42">
        <v>2.9</v>
      </c>
    </row>
    <row r="106" spans="2:3" x14ac:dyDescent="0.3">
      <c r="B106" s="8" t="s">
        <v>269</v>
      </c>
      <c r="C106" s="42">
        <v>0</v>
      </c>
    </row>
    <row r="107" spans="2:3" x14ac:dyDescent="0.3">
      <c r="B107" s="8" t="s">
        <v>280</v>
      </c>
      <c r="C107" s="42">
        <v>0</v>
      </c>
    </row>
    <row r="108" spans="2:3" x14ac:dyDescent="0.3">
      <c r="B108" s="8" t="s">
        <v>318</v>
      </c>
      <c r="C108" s="42">
        <v>2</v>
      </c>
    </row>
    <row r="109" spans="2:3" x14ac:dyDescent="0.3">
      <c r="B109" s="8" t="s">
        <v>264</v>
      </c>
      <c r="C109" s="42">
        <v>0</v>
      </c>
    </row>
    <row r="110" spans="2:3" x14ac:dyDescent="0.3">
      <c r="B110" s="8" t="s">
        <v>221</v>
      </c>
      <c r="C110" s="42">
        <v>2.2999999999999998</v>
      </c>
    </row>
    <row r="111" spans="2:3" x14ac:dyDescent="0.3">
      <c r="B111" s="8" t="s">
        <v>18</v>
      </c>
      <c r="C111" s="42">
        <v>4.7</v>
      </c>
    </row>
    <row r="112" spans="2:3" x14ac:dyDescent="0.3">
      <c r="B112" s="8" t="s">
        <v>224</v>
      </c>
      <c r="C112" s="42">
        <v>3</v>
      </c>
    </row>
    <row r="113" spans="2:3" x14ac:dyDescent="0.3">
      <c r="B113" s="8" t="s">
        <v>347</v>
      </c>
      <c r="C113" s="42">
        <v>221.70000000000002</v>
      </c>
    </row>
  </sheetData>
  <mergeCells count="1">
    <mergeCell ref="B2:C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E3BD9-3737-4FA1-8D38-F61DF0F0BF7D}">
  <dimension ref="B1:C120"/>
  <sheetViews>
    <sheetView topLeftCell="A55" workbookViewId="0">
      <selection activeCell="B73" sqref="B73"/>
    </sheetView>
  </sheetViews>
  <sheetFormatPr defaultRowHeight="14.4" x14ac:dyDescent="0.3"/>
  <cols>
    <col min="2" max="2" width="66.5546875" style="2" bestFit="1" customWidth="1"/>
    <col min="3" max="3" width="21.6640625" style="3" bestFit="1" customWidth="1"/>
  </cols>
  <sheetData>
    <row r="1" spans="2:3" ht="21.6" thickBot="1" x14ac:dyDescent="0.45">
      <c r="B1" s="15" t="s">
        <v>0</v>
      </c>
      <c r="C1" s="19" t="s">
        <v>327</v>
      </c>
    </row>
    <row r="2" spans="2:3" x14ac:dyDescent="0.3">
      <c r="B2" s="9" t="s">
        <v>6</v>
      </c>
      <c r="C2" s="25">
        <v>4.5</v>
      </c>
    </row>
    <row r="3" spans="2:3" x14ac:dyDescent="0.3">
      <c r="B3" s="9" t="s">
        <v>10</v>
      </c>
      <c r="C3" s="25">
        <v>4.0999999999999996</v>
      </c>
    </row>
    <row r="4" spans="2:3" x14ac:dyDescent="0.3">
      <c r="B4" s="9" t="s">
        <v>14</v>
      </c>
      <c r="C4" s="25">
        <v>4.5999999999999996</v>
      </c>
    </row>
    <row r="5" spans="2:3" x14ac:dyDescent="0.3">
      <c r="B5" s="9" t="s">
        <v>18</v>
      </c>
      <c r="C5" s="25">
        <v>4.7</v>
      </c>
    </row>
    <row r="6" spans="2:3" x14ac:dyDescent="0.3">
      <c r="B6" s="9" t="s">
        <v>22</v>
      </c>
      <c r="C6" s="25">
        <v>4.8</v>
      </c>
    </row>
    <row r="7" spans="2:3" x14ac:dyDescent="0.3">
      <c r="B7" s="9" t="s">
        <v>26</v>
      </c>
      <c r="C7" s="25">
        <v>4</v>
      </c>
    </row>
    <row r="8" spans="2:3" x14ac:dyDescent="0.3">
      <c r="B8" s="9" t="s">
        <v>30</v>
      </c>
      <c r="C8" s="25">
        <v>4.5999999999999996</v>
      </c>
    </row>
    <row r="9" spans="2:3" x14ac:dyDescent="0.3">
      <c r="B9" s="9" t="s">
        <v>33</v>
      </c>
      <c r="C9" s="25">
        <v>4</v>
      </c>
    </row>
    <row r="10" spans="2:3" x14ac:dyDescent="0.3">
      <c r="B10" s="9" t="s">
        <v>35</v>
      </c>
      <c r="C10" s="25">
        <v>4.8</v>
      </c>
    </row>
    <row r="11" spans="2:3" x14ac:dyDescent="0.3">
      <c r="B11" s="9" t="s">
        <v>38</v>
      </c>
      <c r="C11" s="25">
        <v>3.8</v>
      </c>
    </row>
    <row r="12" spans="2:3" x14ac:dyDescent="0.3">
      <c r="B12" s="9" t="s">
        <v>42</v>
      </c>
      <c r="C12" s="25">
        <v>4.0999999999999996</v>
      </c>
    </row>
    <row r="13" spans="2:3" x14ac:dyDescent="0.3">
      <c r="B13" s="9" t="s">
        <v>44</v>
      </c>
      <c r="C13" s="25">
        <v>4.7</v>
      </c>
    </row>
    <row r="14" spans="2:3" x14ac:dyDescent="0.3">
      <c r="B14" s="9" t="s">
        <v>47</v>
      </c>
      <c r="C14" s="25">
        <v>4.8</v>
      </c>
    </row>
    <row r="15" spans="2:3" x14ac:dyDescent="0.3">
      <c r="B15" s="9" t="s">
        <v>50</v>
      </c>
      <c r="C15" s="25">
        <v>4.5</v>
      </c>
    </row>
    <row r="16" spans="2:3" x14ac:dyDescent="0.3">
      <c r="B16" s="9" t="s">
        <v>53</v>
      </c>
      <c r="C16" s="25">
        <v>4.2</v>
      </c>
    </row>
    <row r="17" spans="2:3" x14ac:dyDescent="0.3">
      <c r="B17" s="9" t="s">
        <v>56</v>
      </c>
      <c r="C17" s="25">
        <v>5</v>
      </c>
    </row>
    <row r="18" spans="2:3" x14ac:dyDescent="0.3">
      <c r="B18" s="9" t="s">
        <v>60</v>
      </c>
      <c r="C18" s="25">
        <v>5</v>
      </c>
    </row>
    <row r="19" spans="2:3" x14ac:dyDescent="0.3">
      <c r="B19" s="9" t="s">
        <v>63</v>
      </c>
      <c r="C19" s="25">
        <v>5</v>
      </c>
    </row>
    <row r="20" spans="2:3" x14ac:dyDescent="0.3">
      <c r="B20" s="9" t="s">
        <v>66</v>
      </c>
      <c r="C20" s="25">
        <v>4.5999999999999996</v>
      </c>
    </row>
    <row r="21" spans="2:3" x14ac:dyDescent="0.3">
      <c r="B21" s="9" t="s">
        <v>68</v>
      </c>
      <c r="C21" s="25">
        <v>4.5999999999999996</v>
      </c>
    </row>
    <row r="22" spans="2:3" x14ac:dyDescent="0.3">
      <c r="B22" s="9" t="s">
        <v>71</v>
      </c>
      <c r="C22" s="25">
        <v>3.3</v>
      </c>
    </row>
    <row r="23" spans="2:3" x14ac:dyDescent="0.3">
      <c r="B23" s="9" t="s">
        <v>78</v>
      </c>
      <c r="C23" s="25">
        <v>4</v>
      </c>
    </row>
    <row r="24" spans="2:3" x14ac:dyDescent="0.3">
      <c r="B24" s="9" t="s">
        <v>81</v>
      </c>
      <c r="C24" s="25">
        <v>4.4000000000000004</v>
      </c>
    </row>
    <row r="25" spans="2:3" x14ac:dyDescent="0.3">
      <c r="B25" s="9" t="s">
        <v>85</v>
      </c>
      <c r="C25" s="25">
        <v>4.3</v>
      </c>
    </row>
    <row r="26" spans="2:3" x14ac:dyDescent="0.3">
      <c r="B26" s="9" t="s">
        <v>89</v>
      </c>
      <c r="C26" s="25">
        <v>4.5999999999999996</v>
      </c>
    </row>
    <row r="27" spans="2:3" x14ac:dyDescent="0.3">
      <c r="B27" s="9" t="s">
        <v>92</v>
      </c>
      <c r="C27" s="25">
        <v>3.8</v>
      </c>
    </row>
    <row r="28" spans="2:3" x14ac:dyDescent="0.3">
      <c r="B28" s="9" t="s">
        <v>95</v>
      </c>
      <c r="C28" s="25">
        <v>3.8</v>
      </c>
    </row>
    <row r="29" spans="2:3" x14ac:dyDescent="0.3">
      <c r="B29" s="9" t="s">
        <v>97</v>
      </c>
      <c r="C29" s="25">
        <v>4.0999999999999996</v>
      </c>
    </row>
    <row r="30" spans="2:3" x14ac:dyDescent="0.3">
      <c r="B30" s="9" t="s">
        <v>102</v>
      </c>
      <c r="C30" s="25">
        <v>4.3</v>
      </c>
    </row>
    <row r="31" spans="2:3" x14ac:dyDescent="0.3">
      <c r="B31" s="9" t="s">
        <v>105</v>
      </c>
      <c r="C31" s="25">
        <v>4.7</v>
      </c>
    </row>
    <row r="32" spans="2:3" x14ac:dyDescent="0.3">
      <c r="B32" s="9" t="s">
        <v>108</v>
      </c>
      <c r="C32" s="25">
        <v>4.3</v>
      </c>
    </row>
    <row r="33" spans="2:3" x14ac:dyDescent="0.3">
      <c r="B33" s="9" t="s">
        <v>111</v>
      </c>
      <c r="C33" s="25">
        <v>4.7</v>
      </c>
    </row>
    <row r="34" spans="2:3" x14ac:dyDescent="0.3">
      <c r="B34" s="9" t="s">
        <v>114</v>
      </c>
      <c r="C34" s="25">
        <v>4.5</v>
      </c>
    </row>
    <row r="35" spans="2:3" x14ac:dyDescent="0.3">
      <c r="B35" s="9" t="s">
        <v>117</v>
      </c>
      <c r="C35" s="25">
        <v>5</v>
      </c>
    </row>
    <row r="36" spans="2:3" x14ac:dyDescent="0.3">
      <c r="B36" s="9" t="s">
        <v>120</v>
      </c>
      <c r="C36" s="25">
        <v>5</v>
      </c>
    </row>
    <row r="37" spans="2:3" x14ac:dyDescent="0.3">
      <c r="B37" s="9" t="s">
        <v>122</v>
      </c>
      <c r="C37" s="25">
        <v>4.3</v>
      </c>
    </row>
    <row r="38" spans="2:3" x14ac:dyDescent="0.3">
      <c r="B38" s="9" t="s">
        <v>125</v>
      </c>
      <c r="C38" s="25">
        <v>4.5</v>
      </c>
    </row>
    <row r="39" spans="2:3" x14ac:dyDescent="0.3">
      <c r="B39" s="9" t="s">
        <v>182</v>
      </c>
      <c r="C39" s="25">
        <v>2.5</v>
      </c>
    </row>
    <row r="40" spans="2:3" x14ac:dyDescent="0.3">
      <c r="B40" s="9" t="s">
        <v>186</v>
      </c>
      <c r="C40" s="25">
        <v>3</v>
      </c>
    </row>
    <row r="41" spans="2:3" x14ac:dyDescent="0.3">
      <c r="B41" s="9" t="s">
        <v>190</v>
      </c>
      <c r="C41" s="25">
        <v>2.1</v>
      </c>
    </row>
    <row r="42" spans="2:3" x14ac:dyDescent="0.3">
      <c r="B42" s="9" t="s">
        <v>194</v>
      </c>
      <c r="C42" s="25">
        <v>2.8</v>
      </c>
    </row>
    <row r="43" spans="2:3" x14ac:dyDescent="0.3">
      <c r="B43" s="9" t="s">
        <v>198</v>
      </c>
      <c r="C43" s="25">
        <v>2.7</v>
      </c>
    </row>
    <row r="44" spans="2:3" x14ac:dyDescent="0.3">
      <c r="B44" s="9" t="s">
        <v>202</v>
      </c>
      <c r="C44" s="25">
        <v>2.9</v>
      </c>
    </row>
    <row r="45" spans="2:3" x14ac:dyDescent="0.3">
      <c r="B45" s="9" t="s">
        <v>206</v>
      </c>
      <c r="C45" s="25">
        <v>2.2000000000000002</v>
      </c>
    </row>
    <row r="46" spans="2:3" x14ac:dyDescent="0.3">
      <c r="B46" s="9" t="s">
        <v>209</v>
      </c>
      <c r="C46" s="25">
        <v>2.2999999999999998</v>
      </c>
    </row>
    <row r="47" spans="2:3" x14ac:dyDescent="0.3">
      <c r="B47" s="9" t="s">
        <v>212</v>
      </c>
      <c r="C47" s="25">
        <v>3</v>
      </c>
    </row>
    <row r="48" spans="2:3" x14ac:dyDescent="0.3">
      <c r="B48" s="9" t="s">
        <v>215</v>
      </c>
      <c r="C48" s="25">
        <v>2.6</v>
      </c>
    </row>
    <row r="49" spans="2:3" x14ac:dyDescent="0.3">
      <c r="B49" s="9" t="s">
        <v>218</v>
      </c>
      <c r="C49" s="25">
        <v>3</v>
      </c>
    </row>
    <row r="50" spans="2:3" x14ac:dyDescent="0.3">
      <c r="B50" s="9" t="s">
        <v>221</v>
      </c>
      <c r="C50" s="25">
        <v>2.2999999999999998</v>
      </c>
    </row>
    <row r="51" spans="2:3" x14ac:dyDescent="0.3">
      <c r="B51" s="9" t="s">
        <v>224</v>
      </c>
      <c r="C51" s="25">
        <v>3</v>
      </c>
    </row>
    <row r="52" spans="2:3" x14ac:dyDescent="0.3">
      <c r="B52" s="9" t="s">
        <v>227</v>
      </c>
      <c r="C52" s="25">
        <v>2.2000000000000002</v>
      </c>
    </row>
    <row r="53" spans="2:3" x14ac:dyDescent="0.3">
      <c r="B53" s="9" t="s">
        <v>229</v>
      </c>
      <c r="C53" s="25">
        <v>2.1</v>
      </c>
    </row>
    <row r="54" spans="2:3" x14ac:dyDescent="0.3">
      <c r="B54" s="9" t="s">
        <v>243</v>
      </c>
      <c r="C54" s="25">
        <v>3</v>
      </c>
    </row>
    <row r="55" spans="2:3" x14ac:dyDescent="0.3">
      <c r="B55" s="9" t="s">
        <v>245</v>
      </c>
      <c r="C55" s="25">
        <v>5</v>
      </c>
    </row>
    <row r="56" spans="2:3" x14ac:dyDescent="0.3">
      <c r="B56" s="9" t="s">
        <v>253</v>
      </c>
      <c r="C56" s="25">
        <v>4</v>
      </c>
    </row>
    <row r="57" spans="2:3" x14ac:dyDescent="0.3">
      <c r="B57" s="9" t="s">
        <v>295</v>
      </c>
      <c r="C57" s="25">
        <v>5</v>
      </c>
    </row>
    <row r="58" spans="2:3" ht="15" thickBot="1" x14ac:dyDescent="0.35">
      <c r="B58" s="11" t="s">
        <v>318</v>
      </c>
      <c r="C58" s="26">
        <v>2</v>
      </c>
    </row>
    <row r="61" spans="2:3" ht="18" x14ac:dyDescent="0.35">
      <c r="B61" s="45" t="s">
        <v>368</v>
      </c>
      <c r="C61" s="45"/>
    </row>
    <row r="62" spans="2:3" x14ac:dyDescent="0.3">
      <c r="B62" s="7" t="s">
        <v>343</v>
      </c>
      <c r="C62" t="s">
        <v>359</v>
      </c>
    </row>
    <row r="63" spans="2:3" x14ac:dyDescent="0.3">
      <c r="B63" s="8" t="s">
        <v>190</v>
      </c>
      <c r="C63" s="23">
        <v>2.1</v>
      </c>
    </row>
    <row r="64" spans="2:3" x14ac:dyDescent="0.3">
      <c r="B64" s="8" t="s">
        <v>227</v>
      </c>
      <c r="C64" s="23">
        <v>2.2000000000000002</v>
      </c>
    </row>
    <row r="65" spans="2:3" x14ac:dyDescent="0.3">
      <c r="B65" s="8" t="s">
        <v>206</v>
      </c>
      <c r="C65" s="23">
        <v>2.2000000000000002</v>
      </c>
    </row>
    <row r="66" spans="2:3" x14ac:dyDescent="0.3">
      <c r="B66" s="8" t="s">
        <v>229</v>
      </c>
      <c r="C66" s="23">
        <v>2.1</v>
      </c>
    </row>
    <row r="67" spans="2:3" x14ac:dyDescent="0.3">
      <c r="B67" s="8" t="s">
        <v>318</v>
      </c>
      <c r="C67" s="23">
        <v>2</v>
      </c>
    </row>
    <row r="68" spans="2:3" x14ac:dyDescent="0.3">
      <c r="B68" s="8" t="s">
        <v>347</v>
      </c>
      <c r="C68" s="23">
        <v>10.600000000000001</v>
      </c>
    </row>
    <row r="69" spans="2:3" x14ac:dyDescent="0.3">
      <c r="B69"/>
      <c r="C69"/>
    </row>
    <row r="70" spans="2:3" x14ac:dyDescent="0.3">
      <c r="B70"/>
      <c r="C70"/>
    </row>
    <row r="71" spans="2:3" x14ac:dyDescent="0.3">
      <c r="B71"/>
      <c r="C71"/>
    </row>
    <row r="72" spans="2:3" x14ac:dyDescent="0.3">
      <c r="B72"/>
      <c r="C72"/>
    </row>
    <row r="73" spans="2:3" x14ac:dyDescent="0.3">
      <c r="B73"/>
      <c r="C73"/>
    </row>
    <row r="74" spans="2:3" x14ac:dyDescent="0.3">
      <c r="B74"/>
      <c r="C74"/>
    </row>
    <row r="75" spans="2:3" x14ac:dyDescent="0.3">
      <c r="B75"/>
      <c r="C75"/>
    </row>
    <row r="76" spans="2:3" x14ac:dyDescent="0.3">
      <c r="B76"/>
      <c r="C76"/>
    </row>
    <row r="77" spans="2:3" x14ac:dyDescent="0.3">
      <c r="B77"/>
      <c r="C77"/>
    </row>
    <row r="78" spans="2:3" x14ac:dyDescent="0.3">
      <c r="B78"/>
      <c r="C78"/>
    </row>
    <row r="79" spans="2:3" x14ac:dyDescent="0.3">
      <c r="B79"/>
      <c r="C79"/>
    </row>
    <row r="80" spans="2:3" x14ac:dyDescent="0.3">
      <c r="B80"/>
      <c r="C80"/>
    </row>
    <row r="81" spans="2:3" x14ac:dyDescent="0.3">
      <c r="B81"/>
      <c r="C81"/>
    </row>
    <row r="82" spans="2:3" x14ac:dyDescent="0.3">
      <c r="B82"/>
      <c r="C82"/>
    </row>
    <row r="83" spans="2:3" x14ac:dyDescent="0.3">
      <c r="B83"/>
      <c r="C83"/>
    </row>
    <row r="84" spans="2:3" x14ac:dyDescent="0.3">
      <c r="B84"/>
      <c r="C84"/>
    </row>
    <row r="85" spans="2:3" x14ac:dyDescent="0.3">
      <c r="B85"/>
      <c r="C85"/>
    </row>
    <row r="86" spans="2:3" x14ac:dyDescent="0.3">
      <c r="B86"/>
      <c r="C86"/>
    </row>
    <row r="87" spans="2:3" x14ac:dyDescent="0.3">
      <c r="B87"/>
      <c r="C87"/>
    </row>
    <row r="88" spans="2:3" x14ac:dyDescent="0.3">
      <c r="B88"/>
      <c r="C88"/>
    </row>
    <row r="89" spans="2:3" x14ac:dyDescent="0.3">
      <c r="B89"/>
      <c r="C89"/>
    </row>
    <row r="90" spans="2:3" x14ac:dyDescent="0.3">
      <c r="B90"/>
      <c r="C90"/>
    </row>
    <row r="91" spans="2:3" x14ac:dyDescent="0.3">
      <c r="B91"/>
      <c r="C91"/>
    </row>
    <row r="92" spans="2:3" x14ac:dyDescent="0.3">
      <c r="B92"/>
      <c r="C92"/>
    </row>
    <row r="93" spans="2:3" x14ac:dyDescent="0.3">
      <c r="B93"/>
      <c r="C93"/>
    </row>
    <row r="94" spans="2:3" x14ac:dyDescent="0.3">
      <c r="B94"/>
      <c r="C94"/>
    </row>
    <row r="95" spans="2:3" x14ac:dyDescent="0.3">
      <c r="B95"/>
      <c r="C95"/>
    </row>
    <row r="96" spans="2:3" x14ac:dyDescent="0.3">
      <c r="B96"/>
      <c r="C96"/>
    </row>
    <row r="97" spans="2:3" x14ac:dyDescent="0.3">
      <c r="B97"/>
      <c r="C97"/>
    </row>
    <row r="98" spans="2:3" x14ac:dyDescent="0.3">
      <c r="B98"/>
      <c r="C98"/>
    </row>
    <row r="99" spans="2:3" x14ac:dyDescent="0.3">
      <c r="B99"/>
      <c r="C99"/>
    </row>
    <row r="100" spans="2:3" x14ac:dyDescent="0.3">
      <c r="B100"/>
      <c r="C100"/>
    </row>
    <row r="101" spans="2:3" x14ac:dyDescent="0.3">
      <c r="B101"/>
      <c r="C101"/>
    </row>
    <row r="102" spans="2:3" x14ac:dyDescent="0.3">
      <c r="B102"/>
      <c r="C102"/>
    </row>
    <row r="103" spans="2:3" x14ac:dyDescent="0.3">
      <c r="B103"/>
      <c r="C103"/>
    </row>
    <row r="104" spans="2:3" x14ac:dyDescent="0.3">
      <c r="B104"/>
      <c r="C104"/>
    </row>
    <row r="105" spans="2:3" x14ac:dyDescent="0.3">
      <c r="B105"/>
      <c r="C105"/>
    </row>
    <row r="106" spans="2:3" x14ac:dyDescent="0.3">
      <c r="B106"/>
      <c r="C106"/>
    </row>
    <row r="107" spans="2:3" x14ac:dyDescent="0.3">
      <c r="B107"/>
      <c r="C107"/>
    </row>
    <row r="108" spans="2:3" x14ac:dyDescent="0.3">
      <c r="B108"/>
      <c r="C108"/>
    </row>
    <row r="109" spans="2:3" x14ac:dyDescent="0.3">
      <c r="B109"/>
      <c r="C109"/>
    </row>
    <row r="110" spans="2:3" x14ac:dyDescent="0.3">
      <c r="B110"/>
      <c r="C110"/>
    </row>
    <row r="111" spans="2:3" x14ac:dyDescent="0.3">
      <c r="B111"/>
      <c r="C111"/>
    </row>
    <row r="112" spans="2:3" x14ac:dyDescent="0.3">
      <c r="B112"/>
      <c r="C112"/>
    </row>
    <row r="113" spans="2:3" x14ac:dyDescent="0.3">
      <c r="B113"/>
      <c r="C113"/>
    </row>
    <row r="114" spans="2:3" x14ac:dyDescent="0.3">
      <c r="B114"/>
      <c r="C114"/>
    </row>
    <row r="115" spans="2:3" x14ac:dyDescent="0.3">
      <c r="B115"/>
      <c r="C115"/>
    </row>
    <row r="116" spans="2:3" x14ac:dyDescent="0.3">
      <c r="B116"/>
      <c r="C116"/>
    </row>
    <row r="117" spans="2:3" x14ac:dyDescent="0.3">
      <c r="B117"/>
      <c r="C117"/>
    </row>
    <row r="118" spans="2:3" x14ac:dyDescent="0.3">
      <c r="B118"/>
      <c r="C118"/>
    </row>
    <row r="119" spans="2:3" x14ac:dyDescent="0.3">
      <c r="B119"/>
      <c r="C119"/>
    </row>
    <row r="120" spans="2:3" x14ac:dyDescent="0.3">
      <c r="B120"/>
      <c r="C120"/>
    </row>
  </sheetData>
  <mergeCells count="1">
    <mergeCell ref="B61:C61"/>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CC6E9-FD28-44E5-8E04-A4E72F0A4761}">
  <dimension ref="B2:C113"/>
  <sheetViews>
    <sheetView workbookViewId="0">
      <selection activeCell="B18" sqref="B18"/>
    </sheetView>
  </sheetViews>
  <sheetFormatPr defaultRowHeight="14.4" x14ac:dyDescent="0.3"/>
  <cols>
    <col min="2" max="2" width="87.88671875" bestFit="1" customWidth="1"/>
    <col min="3" max="3" width="18.109375" bestFit="1" customWidth="1"/>
  </cols>
  <sheetData>
    <row r="2" spans="2:3" ht="18" x14ac:dyDescent="0.35">
      <c r="B2" s="44" t="s">
        <v>367</v>
      </c>
      <c r="C2" s="44"/>
    </row>
    <row r="3" spans="2:3" x14ac:dyDescent="0.3">
      <c r="B3" s="7" t="s">
        <v>343</v>
      </c>
      <c r="C3" t="s">
        <v>348</v>
      </c>
    </row>
    <row r="4" spans="2:3" x14ac:dyDescent="0.3">
      <c r="B4" s="8" t="s">
        <v>125</v>
      </c>
      <c r="C4" s="1">
        <v>0.38</v>
      </c>
    </row>
    <row r="5" spans="2:3" x14ac:dyDescent="0.3">
      <c r="B5" s="8" t="s">
        <v>44</v>
      </c>
      <c r="C5" s="1">
        <v>0.34</v>
      </c>
    </row>
    <row r="6" spans="2:3" x14ac:dyDescent="0.3">
      <c r="B6" s="8" t="s">
        <v>6</v>
      </c>
      <c r="C6" s="1">
        <v>0.38</v>
      </c>
    </row>
    <row r="7" spans="2:3" x14ac:dyDescent="0.3">
      <c r="B7" s="8" t="s">
        <v>95</v>
      </c>
      <c r="C7" s="1">
        <v>0.32</v>
      </c>
    </row>
    <row r="8" spans="2:3" x14ac:dyDescent="0.3">
      <c r="B8" s="8" t="s">
        <v>105</v>
      </c>
      <c r="C8" s="1">
        <v>0.34</v>
      </c>
    </row>
    <row r="9" spans="2:3" x14ac:dyDescent="0.3">
      <c r="B9" s="8" t="s">
        <v>194</v>
      </c>
      <c r="C9" s="1">
        <v>0.49</v>
      </c>
    </row>
    <row r="10" spans="2:3" x14ac:dyDescent="0.3">
      <c r="B10" s="8" t="s">
        <v>177</v>
      </c>
      <c r="C10" s="1">
        <v>0.27</v>
      </c>
    </row>
    <row r="11" spans="2:3" x14ac:dyDescent="0.3">
      <c r="B11" s="8" t="s">
        <v>38</v>
      </c>
      <c r="C11" s="1">
        <v>0.45</v>
      </c>
    </row>
    <row r="12" spans="2:3" x14ac:dyDescent="0.3">
      <c r="B12" s="8" t="s">
        <v>30</v>
      </c>
      <c r="C12" s="1">
        <v>0.24</v>
      </c>
    </row>
    <row r="13" spans="2:3" x14ac:dyDescent="0.3">
      <c r="B13" s="8" t="s">
        <v>304</v>
      </c>
      <c r="C13" s="1">
        <v>0.24</v>
      </c>
    </row>
    <row r="14" spans="2:3" x14ac:dyDescent="0.3">
      <c r="B14" s="8" t="s">
        <v>251</v>
      </c>
      <c r="C14" s="1">
        <v>0.02</v>
      </c>
    </row>
    <row r="15" spans="2:3" x14ac:dyDescent="0.3">
      <c r="B15" s="8" t="s">
        <v>26</v>
      </c>
      <c r="C15" s="1">
        <v>0.09</v>
      </c>
    </row>
    <row r="16" spans="2:3" x14ac:dyDescent="0.3">
      <c r="B16" s="8" t="s">
        <v>301</v>
      </c>
      <c r="C16" s="1">
        <v>0.01</v>
      </c>
    </row>
    <row r="17" spans="2:3" x14ac:dyDescent="0.3">
      <c r="B17" s="8" t="s">
        <v>278</v>
      </c>
      <c r="C17" s="1">
        <v>0.5</v>
      </c>
    </row>
    <row r="18" spans="2:3" x14ac:dyDescent="0.3">
      <c r="B18" s="8" t="s">
        <v>151</v>
      </c>
      <c r="C18" s="1">
        <v>0.38</v>
      </c>
    </row>
    <row r="19" spans="2:3" x14ac:dyDescent="0.3">
      <c r="B19" s="8" t="s">
        <v>232</v>
      </c>
      <c r="C19" s="1">
        <v>0.47</v>
      </c>
    </row>
    <row r="20" spans="2:3" x14ac:dyDescent="0.3">
      <c r="B20" s="8" t="s">
        <v>212</v>
      </c>
      <c r="C20" s="1">
        <v>0.39</v>
      </c>
    </row>
    <row r="21" spans="2:3" x14ac:dyDescent="0.3">
      <c r="B21" s="8" t="s">
        <v>209</v>
      </c>
      <c r="C21" s="1">
        <v>0.5</v>
      </c>
    </row>
    <row r="22" spans="2:3" x14ac:dyDescent="0.3">
      <c r="B22" s="8" t="s">
        <v>68</v>
      </c>
      <c r="C22" s="1">
        <v>0.49</v>
      </c>
    </row>
    <row r="23" spans="2:3" x14ac:dyDescent="0.3">
      <c r="B23" s="8" t="s">
        <v>235</v>
      </c>
      <c r="C23" s="1">
        <v>0.43</v>
      </c>
    </row>
    <row r="24" spans="2:3" x14ac:dyDescent="0.3">
      <c r="B24" s="8" t="s">
        <v>71</v>
      </c>
      <c r="C24" s="1">
        <v>0.53</v>
      </c>
    </row>
    <row r="25" spans="2:3" x14ac:dyDescent="0.3">
      <c r="B25" s="8" t="s">
        <v>284</v>
      </c>
      <c r="C25" s="1">
        <v>0.49</v>
      </c>
    </row>
    <row r="26" spans="2:3" x14ac:dyDescent="0.3">
      <c r="B26" s="8" t="s">
        <v>47</v>
      </c>
      <c r="C26" s="1">
        <v>0.47</v>
      </c>
    </row>
    <row r="27" spans="2:3" x14ac:dyDescent="0.3">
      <c r="B27" s="8" t="s">
        <v>131</v>
      </c>
      <c r="C27" s="1">
        <v>0.49</v>
      </c>
    </row>
    <row r="28" spans="2:3" x14ac:dyDescent="0.3">
      <c r="B28" s="8" t="s">
        <v>75</v>
      </c>
      <c r="C28" s="1">
        <v>0.42</v>
      </c>
    </row>
    <row r="29" spans="2:3" x14ac:dyDescent="0.3">
      <c r="B29" s="8" t="s">
        <v>182</v>
      </c>
      <c r="C29" s="1">
        <v>0.13</v>
      </c>
    </row>
    <row r="30" spans="2:3" x14ac:dyDescent="0.3">
      <c r="B30" s="8" t="s">
        <v>97</v>
      </c>
      <c r="C30" s="1">
        <v>0.3</v>
      </c>
    </row>
    <row r="31" spans="2:3" x14ac:dyDescent="0.3">
      <c r="B31" s="8" t="s">
        <v>114</v>
      </c>
      <c r="C31" s="1">
        <v>0.27</v>
      </c>
    </row>
    <row r="32" spans="2:3" x14ac:dyDescent="0.3">
      <c r="B32" s="8" t="s">
        <v>111</v>
      </c>
      <c r="C32" s="1">
        <v>0.27</v>
      </c>
    </row>
    <row r="33" spans="2:3" x14ac:dyDescent="0.3">
      <c r="B33" s="8" t="s">
        <v>248</v>
      </c>
      <c r="C33" s="1">
        <v>0.36</v>
      </c>
    </row>
    <row r="34" spans="2:3" x14ac:dyDescent="0.3">
      <c r="B34" s="8" t="s">
        <v>190</v>
      </c>
      <c r="C34" s="1">
        <v>0.55000000000000004</v>
      </c>
    </row>
    <row r="35" spans="2:3" x14ac:dyDescent="0.3">
      <c r="B35" s="8" t="s">
        <v>316</v>
      </c>
      <c r="C35" s="1">
        <v>0.64</v>
      </c>
    </row>
    <row r="36" spans="2:3" x14ac:dyDescent="0.3">
      <c r="B36" s="8" t="s">
        <v>277</v>
      </c>
      <c r="C36" s="1">
        <v>0.47</v>
      </c>
    </row>
    <row r="37" spans="2:3" x14ac:dyDescent="0.3">
      <c r="B37" s="8" t="s">
        <v>145</v>
      </c>
      <c r="C37" s="1">
        <v>0.33</v>
      </c>
    </row>
    <row r="38" spans="2:3" x14ac:dyDescent="0.3">
      <c r="B38" s="8" t="s">
        <v>240</v>
      </c>
      <c r="C38" s="1">
        <v>0.49</v>
      </c>
    </row>
    <row r="39" spans="2:3" x14ac:dyDescent="0.3">
      <c r="B39" s="8" t="s">
        <v>227</v>
      </c>
      <c r="C39" s="1">
        <v>0.47</v>
      </c>
    </row>
    <row r="40" spans="2:3" x14ac:dyDescent="0.3">
      <c r="B40" s="8" t="s">
        <v>292</v>
      </c>
      <c r="C40" s="1">
        <v>0.42</v>
      </c>
    </row>
    <row r="41" spans="2:3" x14ac:dyDescent="0.3">
      <c r="B41" s="8" t="s">
        <v>298</v>
      </c>
      <c r="C41" s="1">
        <v>0.41</v>
      </c>
    </row>
    <row r="42" spans="2:3" x14ac:dyDescent="0.3">
      <c r="B42" s="8" t="s">
        <v>215</v>
      </c>
      <c r="C42" s="1">
        <v>0.45</v>
      </c>
    </row>
    <row r="43" spans="2:3" x14ac:dyDescent="0.3">
      <c r="B43" s="8" t="s">
        <v>175</v>
      </c>
      <c r="C43" s="1">
        <v>0.49</v>
      </c>
    </row>
    <row r="44" spans="2:3" x14ac:dyDescent="0.3">
      <c r="B44" s="8" t="s">
        <v>56</v>
      </c>
      <c r="C44" s="1">
        <v>0.51</v>
      </c>
    </row>
    <row r="45" spans="2:3" x14ac:dyDescent="0.3">
      <c r="B45" s="8" t="s">
        <v>206</v>
      </c>
      <c r="C45" s="1">
        <v>0.45</v>
      </c>
    </row>
    <row r="46" spans="2:3" x14ac:dyDescent="0.3">
      <c r="B46" s="8" t="s">
        <v>289</v>
      </c>
      <c r="C46" s="1">
        <v>0.49</v>
      </c>
    </row>
    <row r="47" spans="2:3" x14ac:dyDescent="0.3">
      <c r="B47" s="8" t="s">
        <v>137</v>
      </c>
      <c r="C47" s="1">
        <v>0.42</v>
      </c>
    </row>
    <row r="48" spans="2:3" x14ac:dyDescent="0.3">
      <c r="B48" s="8" t="s">
        <v>245</v>
      </c>
      <c r="C48" s="1">
        <v>0.49</v>
      </c>
    </row>
    <row r="49" spans="2:3" x14ac:dyDescent="0.3">
      <c r="B49" s="8" t="s">
        <v>320</v>
      </c>
      <c r="C49" s="1">
        <v>0.47</v>
      </c>
    </row>
    <row r="50" spans="2:3" x14ac:dyDescent="0.3">
      <c r="B50" s="8" t="s">
        <v>157</v>
      </c>
      <c r="C50" s="1">
        <v>0.5</v>
      </c>
    </row>
    <row r="51" spans="2:3" x14ac:dyDescent="0.3">
      <c r="B51" s="8" t="s">
        <v>148</v>
      </c>
      <c r="C51" s="1">
        <v>0.49</v>
      </c>
    </row>
    <row r="52" spans="2:3" x14ac:dyDescent="0.3">
      <c r="B52" s="8" t="s">
        <v>258</v>
      </c>
      <c r="C52" s="1">
        <v>0.49</v>
      </c>
    </row>
    <row r="53" spans="2:3" x14ac:dyDescent="0.3">
      <c r="B53" s="8" t="s">
        <v>310</v>
      </c>
      <c r="C53" s="1">
        <v>0.34</v>
      </c>
    </row>
    <row r="54" spans="2:3" x14ac:dyDescent="0.3">
      <c r="B54" s="8" t="s">
        <v>143</v>
      </c>
      <c r="C54" s="1">
        <v>0.5</v>
      </c>
    </row>
    <row r="55" spans="2:3" x14ac:dyDescent="0.3">
      <c r="B55" s="8" t="s">
        <v>173</v>
      </c>
      <c r="C55" s="1">
        <v>0.48</v>
      </c>
    </row>
    <row r="56" spans="2:3" x14ac:dyDescent="0.3">
      <c r="B56" s="8" t="s">
        <v>120</v>
      </c>
      <c r="C56" s="1">
        <v>0.53</v>
      </c>
    </row>
    <row r="57" spans="2:3" x14ac:dyDescent="0.3">
      <c r="B57" s="8" t="s">
        <v>154</v>
      </c>
      <c r="C57" s="1">
        <v>0.55000000000000004</v>
      </c>
    </row>
    <row r="58" spans="2:3" x14ac:dyDescent="0.3">
      <c r="B58" s="8" t="s">
        <v>237</v>
      </c>
      <c r="C58" s="1">
        <v>0.04</v>
      </c>
    </row>
    <row r="59" spans="2:3" x14ac:dyDescent="0.3">
      <c r="B59" s="8" t="s">
        <v>168</v>
      </c>
      <c r="C59" s="1">
        <v>0.41</v>
      </c>
    </row>
    <row r="60" spans="2:3" x14ac:dyDescent="0.3">
      <c r="B60" s="8" t="s">
        <v>33</v>
      </c>
      <c r="C60" s="1">
        <v>0.37</v>
      </c>
    </row>
    <row r="61" spans="2:3" x14ac:dyDescent="0.3">
      <c r="B61" s="8" t="s">
        <v>117</v>
      </c>
      <c r="C61" s="1">
        <v>0.4</v>
      </c>
    </row>
    <row r="62" spans="2:3" x14ac:dyDescent="0.3">
      <c r="B62" s="8" t="s">
        <v>229</v>
      </c>
      <c r="C62" s="1">
        <v>0.47</v>
      </c>
    </row>
    <row r="63" spans="2:3" x14ac:dyDescent="0.3">
      <c r="B63" s="8" t="s">
        <v>89</v>
      </c>
      <c r="C63" s="1">
        <v>0.35</v>
      </c>
    </row>
    <row r="64" spans="2:3" x14ac:dyDescent="0.3">
      <c r="B64" s="8" t="s">
        <v>102</v>
      </c>
      <c r="C64" s="1">
        <v>0.52</v>
      </c>
    </row>
    <row r="65" spans="2:3" x14ac:dyDescent="0.3">
      <c r="B65" s="8" t="s">
        <v>81</v>
      </c>
      <c r="C65" s="1">
        <v>0.23</v>
      </c>
    </row>
    <row r="66" spans="2:3" x14ac:dyDescent="0.3">
      <c r="B66" s="8" t="s">
        <v>42</v>
      </c>
      <c r="C66" s="1">
        <v>0.2</v>
      </c>
    </row>
    <row r="67" spans="2:3" x14ac:dyDescent="0.3">
      <c r="B67" s="8" t="s">
        <v>253</v>
      </c>
      <c r="C67" s="1">
        <v>0.49</v>
      </c>
    </row>
    <row r="68" spans="2:3" x14ac:dyDescent="0.3">
      <c r="B68" s="8" t="s">
        <v>198</v>
      </c>
      <c r="C68" s="1">
        <v>0.52</v>
      </c>
    </row>
    <row r="69" spans="2:3" x14ac:dyDescent="0.3">
      <c r="B69" s="8" t="s">
        <v>295</v>
      </c>
      <c r="C69" s="1">
        <v>0.21</v>
      </c>
    </row>
    <row r="70" spans="2:3" x14ac:dyDescent="0.3">
      <c r="B70" s="8" t="s">
        <v>218</v>
      </c>
      <c r="C70" s="1">
        <v>0.28999999999999998</v>
      </c>
    </row>
    <row r="71" spans="2:3" x14ac:dyDescent="0.3">
      <c r="B71" s="8" t="s">
        <v>85</v>
      </c>
      <c r="C71" s="1">
        <v>0.54</v>
      </c>
    </row>
    <row r="72" spans="2:3" x14ac:dyDescent="0.3">
      <c r="B72" s="8" t="s">
        <v>63</v>
      </c>
      <c r="C72" s="1">
        <v>0.49</v>
      </c>
    </row>
    <row r="73" spans="2:3" x14ac:dyDescent="0.3">
      <c r="B73" s="8" t="s">
        <v>50</v>
      </c>
      <c r="C73" s="1">
        <v>0.42</v>
      </c>
    </row>
    <row r="74" spans="2:3" x14ac:dyDescent="0.3">
      <c r="B74" s="8" t="s">
        <v>35</v>
      </c>
      <c r="C74" s="1">
        <v>0.55000000000000004</v>
      </c>
    </row>
    <row r="75" spans="2:3" x14ac:dyDescent="0.3">
      <c r="B75" s="8" t="s">
        <v>128</v>
      </c>
      <c r="C75" s="1">
        <v>0.38</v>
      </c>
    </row>
    <row r="76" spans="2:3" x14ac:dyDescent="0.3">
      <c r="B76" s="8" t="s">
        <v>108</v>
      </c>
      <c r="C76" s="1">
        <v>0.48</v>
      </c>
    </row>
    <row r="77" spans="2:3" x14ac:dyDescent="0.3">
      <c r="B77" s="8" t="s">
        <v>78</v>
      </c>
      <c r="C77" s="1">
        <v>0.35</v>
      </c>
    </row>
    <row r="78" spans="2:3" x14ac:dyDescent="0.3">
      <c r="B78" s="8" t="s">
        <v>307</v>
      </c>
      <c r="C78" s="1">
        <v>0.34</v>
      </c>
    </row>
    <row r="79" spans="2:3" x14ac:dyDescent="0.3">
      <c r="B79" s="8" t="s">
        <v>66</v>
      </c>
      <c r="C79" s="1">
        <v>0.19</v>
      </c>
    </row>
    <row r="80" spans="2:3" x14ac:dyDescent="0.3">
      <c r="B80" s="8" t="s">
        <v>243</v>
      </c>
      <c r="C80" s="1">
        <v>0.46</v>
      </c>
    </row>
    <row r="81" spans="2:3" x14ac:dyDescent="0.3">
      <c r="B81" s="8" t="s">
        <v>10</v>
      </c>
      <c r="C81" s="1">
        <v>0.47</v>
      </c>
    </row>
    <row r="82" spans="2:3" x14ac:dyDescent="0.3">
      <c r="B82" s="8" t="s">
        <v>287</v>
      </c>
      <c r="C82" s="1">
        <v>0.04</v>
      </c>
    </row>
    <row r="83" spans="2:3" x14ac:dyDescent="0.3">
      <c r="B83" s="8" t="s">
        <v>134</v>
      </c>
      <c r="C83" s="1">
        <v>0.5</v>
      </c>
    </row>
    <row r="84" spans="2:3" x14ac:dyDescent="0.3">
      <c r="B84" s="8" t="s">
        <v>53</v>
      </c>
      <c r="C84" s="1">
        <v>0.33</v>
      </c>
    </row>
    <row r="85" spans="2:3" x14ac:dyDescent="0.3">
      <c r="B85" s="8" t="s">
        <v>266</v>
      </c>
      <c r="C85" s="1">
        <v>0.43</v>
      </c>
    </row>
    <row r="86" spans="2:3" x14ac:dyDescent="0.3">
      <c r="B86" s="8" t="s">
        <v>99</v>
      </c>
      <c r="C86" s="1">
        <v>0.46</v>
      </c>
    </row>
    <row r="87" spans="2:3" x14ac:dyDescent="0.3">
      <c r="B87" s="8" t="s">
        <v>165</v>
      </c>
      <c r="C87" s="1">
        <v>0.03</v>
      </c>
    </row>
    <row r="88" spans="2:3" x14ac:dyDescent="0.3">
      <c r="B88" s="8" t="s">
        <v>186</v>
      </c>
      <c r="C88" s="1">
        <v>0.54</v>
      </c>
    </row>
    <row r="89" spans="2:3" x14ac:dyDescent="0.3">
      <c r="B89" s="8" t="s">
        <v>256</v>
      </c>
      <c r="C89" s="1">
        <v>0.14000000000000001</v>
      </c>
    </row>
    <row r="90" spans="2:3" x14ac:dyDescent="0.3">
      <c r="B90" s="8" t="s">
        <v>261</v>
      </c>
      <c r="C90" s="1">
        <v>0.11</v>
      </c>
    </row>
    <row r="91" spans="2:3" x14ac:dyDescent="0.3">
      <c r="B91" s="8" t="s">
        <v>60</v>
      </c>
      <c r="C91" s="1">
        <v>0.46</v>
      </c>
    </row>
    <row r="92" spans="2:3" x14ac:dyDescent="0.3">
      <c r="B92" s="8" t="s">
        <v>160</v>
      </c>
      <c r="C92" s="1">
        <v>0.02</v>
      </c>
    </row>
    <row r="93" spans="2:3" x14ac:dyDescent="0.3">
      <c r="B93" s="8" t="s">
        <v>163</v>
      </c>
      <c r="C93" s="1">
        <v>0.22</v>
      </c>
    </row>
    <row r="94" spans="2:3" x14ac:dyDescent="0.3">
      <c r="B94" s="8" t="s">
        <v>22</v>
      </c>
      <c r="C94" s="1">
        <v>0.26</v>
      </c>
    </row>
    <row r="95" spans="2:3" x14ac:dyDescent="0.3">
      <c r="B95" s="8" t="s">
        <v>14</v>
      </c>
      <c r="C95" s="1">
        <v>0.25</v>
      </c>
    </row>
    <row r="96" spans="2:3" x14ac:dyDescent="0.3">
      <c r="B96" s="8" t="s">
        <v>282</v>
      </c>
      <c r="C96" s="1">
        <v>0.02</v>
      </c>
    </row>
    <row r="97" spans="2:3" x14ac:dyDescent="0.3">
      <c r="B97" s="8" t="s">
        <v>92</v>
      </c>
      <c r="C97" s="1">
        <v>0.18</v>
      </c>
    </row>
    <row r="98" spans="2:3" x14ac:dyDescent="0.3">
      <c r="B98" s="8" t="s">
        <v>272</v>
      </c>
      <c r="C98" s="1">
        <v>0.48</v>
      </c>
    </row>
    <row r="99" spans="2:3" x14ac:dyDescent="0.3">
      <c r="B99" s="8" t="s">
        <v>122</v>
      </c>
      <c r="C99" s="1">
        <v>0.41</v>
      </c>
    </row>
    <row r="100" spans="2:3" x14ac:dyDescent="0.3">
      <c r="B100" s="8" t="s">
        <v>274</v>
      </c>
      <c r="C100" s="1">
        <v>0.48</v>
      </c>
    </row>
    <row r="101" spans="2:3" x14ac:dyDescent="0.3">
      <c r="B101" s="8" t="s">
        <v>140</v>
      </c>
      <c r="C101" s="1">
        <v>0.02</v>
      </c>
    </row>
    <row r="102" spans="2:3" x14ac:dyDescent="0.3">
      <c r="B102" s="8" t="s">
        <v>312</v>
      </c>
      <c r="C102" s="1">
        <v>0.02</v>
      </c>
    </row>
    <row r="103" spans="2:3" x14ac:dyDescent="0.3">
      <c r="B103" s="8" t="s">
        <v>170</v>
      </c>
      <c r="C103" s="1">
        <v>0.5</v>
      </c>
    </row>
    <row r="104" spans="2:3" x14ac:dyDescent="0.3">
      <c r="B104" s="8" t="s">
        <v>314</v>
      </c>
      <c r="C104" s="1">
        <v>0.02</v>
      </c>
    </row>
    <row r="105" spans="2:3" x14ac:dyDescent="0.3">
      <c r="B105" s="8" t="s">
        <v>202</v>
      </c>
      <c r="C105" s="1">
        <v>0.22</v>
      </c>
    </row>
    <row r="106" spans="2:3" x14ac:dyDescent="0.3">
      <c r="B106" s="8" t="s">
        <v>269</v>
      </c>
      <c r="C106" s="1">
        <v>0.5</v>
      </c>
    </row>
    <row r="107" spans="2:3" x14ac:dyDescent="0.3">
      <c r="B107" s="8" t="s">
        <v>280</v>
      </c>
      <c r="C107" s="1">
        <v>0.08</v>
      </c>
    </row>
    <row r="108" spans="2:3" x14ac:dyDescent="0.3">
      <c r="B108" s="8" t="s">
        <v>318</v>
      </c>
      <c r="C108" s="1">
        <v>0.5</v>
      </c>
    </row>
    <row r="109" spans="2:3" x14ac:dyDescent="0.3">
      <c r="B109" s="8" t="s">
        <v>264</v>
      </c>
      <c r="C109" s="1">
        <v>0.14000000000000001</v>
      </c>
    </row>
    <row r="110" spans="2:3" x14ac:dyDescent="0.3">
      <c r="B110" s="8" t="s">
        <v>221</v>
      </c>
      <c r="C110" s="1">
        <v>0.43</v>
      </c>
    </row>
    <row r="111" spans="2:3" x14ac:dyDescent="0.3">
      <c r="B111" s="8" t="s">
        <v>18</v>
      </c>
      <c r="C111" s="1">
        <v>0.37</v>
      </c>
    </row>
    <row r="112" spans="2:3" x14ac:dyDescent="0.3">
      <c r="B112" s="8" t="s">
        <v>224</v>
      </c>
      <c r="C112" s="1">
        <v>0.43</v>
      </c>
    </row>
    <row r="113" spans="2:3" x14ac:dyDescent="0.3">
      <c r="B113" s="8" t="s">
        <v>347</v>
      </c>
      <c r="C113" s="1">
        <v>0.36776785714285704</v>
      </c>
    </row>
  </sheetData>
  <mergeCells count="1">
    <mergeCell ref="B2:C2"/>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198E4-60BC-431C-98B8-7281D8F46AA4}">
  <dimension ref="B2:C113"/>
  <sheetViews>
    <sheetView workbookViewId="0">
      <selection activeCell="B21" sqref="B21"/>
    </sheetView>
  </sheetViews>
  <sheetFormatPr defaultRowHeight="14.4" x14ac:dyDescent="0.3"/>
  <cols>
    <col min="2" max="2" width="87.88671875" bestFit="1" customWidth="1"/>
    <col min="3" max="3" width="13.5546875" bestFit="1" customWidth="1"/>
    <col min="4" max="4" width="14.88671875" bestFit="1" customWidth="1"/>
  </cols>
  <sheetData>
    <row r="2" spans="2:3" ht="18" x14ac:dyDescent="0.35">
      <c r="B2" s="44" t="s">
        <v>366</v>
      </c>
      <c r="C2" s="44"/>
    </row>
    <row r="3" spans="2:3" x14ac:dyDescent="0.3">
      <c r="B3" s="7" t="s">
        <v>343</v>
      </c>
      <c r="C3" t="s">
        <v>360</v>
      </c>
    </row>
    <row r="4" spans="2:3" x14ac:dyDescent="0.3">
      <c r="B4" s="8" t="s">
        <v>125</v>
      </c>
      <c r="C4" s="42">
        <v>2</v>
      </c>
    </row>
    <row r="5" spans="2:3" x14ac:dyDescent="0.3">
      <c r="B5" s="8" t="s">
        <v>44</v>
      </c>
      <c r="C5" s="42">
        <v>39</v>
      </c>
    </row>
    <row r="6" spans="2:3" x14ac:dyDescent="0.3">
      <c r="B6" s="8" t="s">
        <v>6</v>
      </c>
      <c r="C6" s="42">
        <v>2</v>
      </c>
    </row>
    <row r="7" spans="2:3" x14ac:dyDescent="0.3">
      <c r="B7" s="8" t="s">
        <v>95</v>
      </c>
      <c r="C7" s="42">
        <v>13</v>
      </c>
    </row>
    <row r="8" spans="2:3" x14ac:dyDescent="0.3">
      <c r="B8" s="8" t="s">
        <v>105</v>
      </c>
      <c r="C8" s="42">
        <v>12</v>
      </c>
    </row>
    <row r="9" spans="2:3" x14ac:dyDescent="0.3">
      <c r="B9" s="8" t="s">
        <v>194</v>
      </c>
      <c r="C9" s="42">
        <v>69</v>
      </c>
    </row>
    <row r="10" spans="2:3" x14ac:dyDescent="0.3">
      <c r="B10" s="8" t="s">
        <v>177</v>
      </c>
      <c r="C10" s="42">
        <v>0</v>
      </c>
    </row>
    <row r="11" spans="2:3" x14ac:dyDescent="0.3">
      <c r="B11" s="8" t="s">
        <v>38</v>
      </c>
      <c r="C11" s="42">
        <v>5</v>
      </c>
    </row>
    <row r="12" spans="2:3" x14ac:dyDescent="0.3">
      <c r="B12" s="8" t="s">
        <v>30</v>
      </c>
      <c r="C12" s="42">
        <v>55</v>
      </c>
    </row>
    <row r="13" spans="2:3" x14ac:dyDescent="0.3">
      <c r="B13" s="8" t="s">
        <v>304</v>
      </c>
      <c r="C13" s="42">
        <v>0</v>
      </c>
    </row>
    <row r="14" spans="2:3" x14ac:dyDescent="0.3">
      <c r="B14" s="8" t="s">
        <v>251</v>
      </c>
      <c r="C14" s="42">
        <v>0</v>
      </c>
    </row>
    <row r="15" spans="2:3" x14ac:dyDescent="0.3">
      <c r="B15" s="8" t="s">
        <v>26</v>
      </c>
      <c r="C15" s="42">
        <v>15</v>
      </c>
    </row>
    <row r="16" spans="2:3" x14ac:dyDescent="0.3">
      <c r="B16" s="8" t="s">
        <v>301</v>
      </c>
      <c r="C16" s="42">
        <v>0</v>
      </c>
    </row>
    <row r="17" spans="2:3" x14ac:dyDescent="0.3">
      <c r="B17" s="8" t="s">
        <v>278</v>
      </c>
      <c r="C17" s="42">
        <v>0</v>
      </c>
    </row>
    <row r="18" spans="2:3" x14ac:dyDescent="0.3">
      <c r="B18" s="8" t="s">
        <v>151</v>
      </c>
      <c r="C18" s="42">
        <v>0</v>
      </c>
    </row>
    <row r="19" spans="2:3" x14ac:dyDescent="0.3">
      <c r="B19" s="8" t="s">
        <v>232</v>
      </c>
      <c r="C19" s="42">
        <v>0</v>
      </c>
    </row>
    <row r="20" spans="2:3" x14ac:dyDescent="0.3">
      <c r="B20" s="8" t="s">
        <v>212</v>
      </c>
      <c r="C20" s="42">
        <v>5</v>
      </c>
    </row>
    <row r="21" spans="2:3" x14ac:dyDescent="0.3">
      <c r="B21" s="8" t="s">
        <v>209</v>
      </c>
      <c r="C21" s="42">
        <v>7</v>
      </c>
    </row>
    <row r="22" spans="2:3" x14ac:dyDescent="0.3">
      <c r="B22" s="8" t="s">
        <v>68</v>
      </c>
      <c r="C22" s="42">
        <v>44</v>
      </c>
    </row>
    <row r="23" spans="2:3" x14ac:dyDescent="0.3">
      <c r="B23" s="8" t="s">
        <v>235</v>
      </c>
      <c r="C23" s="42">
        <v>0</v>
      </c>
    </row>
    <row r="24" spans="2:3" x14ac:dyDescent="0.3">
      <c r="B24" s="8" t="s">
        <v>71</v>
      </c>
      <c r="C24" s="42">
        <v>13</v>
      </c>
    </row>
    <row r="25" spans="2:3" x14ac:dyDescent="0.3">
      <c r="B25" s="8" t="s">
        <v>284</v>
      </c>
      <c r="C25" s="42">
        <v>0</v>
      </c>
    </row>
    <row r="26" spans="2:3" x14ac:dyDescent="0.3">
      <c r="B26" s="8" t="s">
        <v>47</v>
      </c>
      <c r="C26" s="42">
        <v>12</v>
      </c>
    </row>
    <row r="27" spans="2:3" x14ac:dyDescent="0.3">
      <c r="B27" s="8" t="s">
        <v>131</v>
      </c>
      <c r="C27" s="42">
        <v>0</v>
      </c>
    </row>
    <row r="28" spans="2:3" x14ac:dyDescent="0.3">
      <c r="B28" s="8" t="s">
        <v>75</v>
      </c>
      <c r="C28" s="42">
        <v>0</v>
      </c>
    </row>
    <row r="29" spans="2:3" x14ac:dyDescent="0.3">
      <c r="B29" s="8" t="s">
        <v>182</v>
      </c>
      <c r="C29" s="42">
        <v>6</v>
      </c>
    </row>
    <row r="30" spans="2:3" x14ac:dyDescent="0.3">
      <c r="B30" s="8" t="s">
        <v>97</v>
      </c>
      <c r="C30" s="42">
        <v>20</v>
      </c>
    </row>
    <row r="31" spans="2:3" x14ac:dyDescent="0.3">
      <c r="B31" s="8" t="s">
        <v>114</v>
      </c>
      <c r="C31" s="42">
        <v>32</v>
      </c>
    </row>
    <row r="32" spans="2:3" x14ac:dyDescent="0.3">
      <c r="B32" s="8" t="s">
        <v>111</v>
      </c>
      <c r="C32" s="42">
        <v>20</v>
      </c>
    </row>
    <row r="33" spans="2:3" x14ac:dyDescent="0.3">
      <c r="B33" s="8" t="s">
        <v>248</v>
      </c>
      <c r="C33" s="42">
        <v>0</v>
      </c>
    </row>
    <row r="34" spans="2:3" x14ac:dyDescent="0.3">
      <c r="B34" s="8" t="s">
        <v>190</v>
      </c>
      <c r="C34" s="42">
        <v>13</v>
      </c>
    </row>
    <row r="35" spans="2:3" x14ac:dyDescent="0.3">
      <c r="B35" s="8" t="s">
        <v>316</v>
      </c>
      <c r="C35" s="42">
        <v>0</v>
      </c>
    </row>
    <row r="36" spans="2:3" x14ac:dyDescent="0.3">
      <c r="B36" s="8" t="s">
        <v>277</v>
      </c>
      <c r="C36" s="42">
        <v>0</v>
      </c>
    </row>
    <row r="37" spans="2:3" x14ac:dyDescent="0.3">
      <c r="B37" s="8" t="s">
        <v>145</v>
      </c>
      <c r="C37" s="42">
        <v>0</v>
      </c>
    </row>
    <row r="38" spans="2:3" x14ac:dyDescent="0.3">
      <c r="B38" s="8" t="s">
        <v>240</v>
      </c>
      <c r="C38" s="42">
        <v>0</v>
      </c>
    </row>
    <row r="39" spans="2:3" x14ac:dyDescent="0.3">
      <c r="B39" s="8" t="s">
        <v>227</v>
      </c>
      <c r="C39" s="42">
        <v>6</v>
      </c>
    </row>
    <row r="40" spans="2:3" x14ac:dyDescent="0.3">
      <c r="B40" s="8" t="s">
        <v>292</v>
      </c>
      <c r="C40" s="42">
        <v>0</v>
      </c>
    </row>
    <row r="41" spans="2:3" x14ac:dyDescent="0.3">
      <c r="B41" s="8" t="s">
        <v>298</v>
      </c>
      <c r="C41" s="42">
        <v>0</v>
      </c>
    </row>
    <row r="42" spans="2:3" x14ac:dyDescent="0.3">
      <c r="B42" s="8" t="s">
        <v>215</v>
      </c>
      <c r="C42" s="42">
        <v>17</v>
      </c>
    </row>
    <row r="43" spans="2:3" x14ac:dyDescent="0.3">
      <c r="B43" s="8" t="s">
        <v>175</v>
      </c>
      <c r="C43" s="42">
        <v>0</v>
      </c>
    </row>
    <row r="44" spans="2:3" x14ac:dyDescent="0.3">
      <c r="B44" s="8" t="s">
        <v>56</v>
      </c>
      <c r="C44" s="42">
        <v>2</v>
      </c>
    </row>
    <row r="45" spans="2:3" x14ac:dyDescent="0.3">
      <c r="B45" s="8" t="s">
        <v>206</v>
      </c>
      <c r="C45" s="42">
        <v>6</v>
      </c>
    </row>
    <row r="46" spans="2:3" x14ac:dyDescent="0.3">
      <c r="B46" s="8" t="s">
        <v>289</v>
      </c>
      <c r="C46" s="42">
        <v>0</v>
      </c>
    </row>
    <row r="47" spans="2:3" x14ac:dyDescent="0.3">
      <c r="B47" s="8" t="s">
        <v>137</v>
      </c>
      <c r="C47" s="42">
        <v>0</v>
      </c>
    </row>
    <row r="48" spans="2:3" x14ac:dyDescent="0.3">
      <c r="B48" s="8" t="s">
        <v>245</v>
      </c>
      <c r="C48" s="42">
        <v>1</v>
      </c>
    </row>
    <row r="49" spans="2:3" x14ac:dyDescent="0.3">
      <c r="B49" s="8" t="s">
        <v>320</v>
      </c>
      <c r="C49" s="42">
        <v>0</v>
      </c>
    </row>
    <row r="50" spans="2:3" x14ac:dyDescent="0.3">
      <c r="B50" s="8" t="s">
        <v>157</v>
      </c>
      <c r="C50" s="42">
        <v>0</v>
      </c>
    </row>
    <row r="51" spans="2:3" x14ac:dyDescent="0.3">
      <c r="B51" s="8" t="s">
        <v>148</v>
      </c>
      <c r="C51" s="42">
        <v>0</v>
      </c>
    </row>
    <row r="52" spans="2:3" x14ac:dyDescent="0.3">
      <c r="B52" s="8" t="s">
        <v>258</v>
      </c>
      <c r="C52" s="42">
        <v>0</v>
      </c>
    </row>
    <row r="53" spans="2:3" x14ac:dyDescent="0.3">
      <c r="B53" s="8" t="s">
        <v>310</v>
      </c>
      <c r="C53" s="42">
        <v>0</v>
      </c>
    </row>
    <row r="54" spans="2:3" x14ac:dyDescent="0.3">
      <c r="B54" s="8" t="s">
        <v>143</v>
      </c>
      <c r="C54" s="42">
        <v>0</v>
      </c>
    </row>
    <row r="55" spans="2:3" x14ac:dyDescent="0.3">
      <c r="B55" s="8" t="s">
        <v>173</v>
      </c>
      <c r="C55" s="42">
        <v>0</v>
      </c>
    </row>
    <row r="56" spans="2:3" x14ac:dyDescent="0.3">
      <c r="B56" s="8" t="s">
        <v>120</v>
      </c>
      <c r="C56" s="42">
        <v>2</v>
      </c>
    </row>
    <row r="57" spans="2:3" x14ac:dyDescent="0.3">
      <c r="B57" s="8" t="s">
        <v>154</v>
      </c>
      <c r="C57" s="42">
        <v>0</v>
      </c>
    </row>
    <row r="58" spans="2:3" x14ac:dyDescent="0.3">
      <c r="B58" s="8" t="s">
        <v>237</v>
      </c>
      <c r="C58" s="42">
        <v>0</v>
      </c>
    </row>
    <row r="59" spans="2:3" x14ac:dyDescent="0.3">
      <c r="B59" s="8" t="s">
        <v>168</v>
      </c>
      <c r="C59" s="42">
        <v>0</v>
      </c>
    </row>
    <row r="60" spans="2:3" x14ac:dyDescent="0.3">
      <c r="B60" s="8" t="s">
        <v>33</v>
      </c>
      <c r="C60" s="42">
        <v>2</v>
      </c>
    </row>
    <row r="61" spans="2:3" x14ac:dyDescent="0.3">
      <c r="B61" s="8" t="s">
        <v>117</v>
      </c>
      <c r="C61" s="42">
        <v>1</v>
      </c>
    </row>
    <row r="62" spans="2:3" x14ac:dyDescent="0.3">
      <c r="B62" s="8" t="s">
        <v>229</v>
      </c>
      <c r="C62" s="42">
        <v>7</v>
      </c>
    </row>
    <row r="63" spans="2:3" x14ac:dyDescent="0.3">
      <c r="B63" s="8" t="s">
        <v>89</v>
      </c>
      <c r="C63" s="42">
        <v>49</v>
      </c>
    </row>
    <row r="64" spans="2:3" x14ac:dyDescent="0.3">
      <c r="B64" s="8" t="s">
        <v>102</v>
      </c>
      <c r="C64" s="42">
        <v>9</v>
      </c>
    </row>
    <row r="65" spans="2:3" x14ac:dyDescent="0.3">
      <c r="B65" s="8" t="s">
        <v>81</v>
      </c>
      <c r="C65" s="42">
        <v>14</v>
      </c>
    </row>
    <row r="66" spans="2:3" x14ac:dyDescent="0.3">
      <c r="B66" s="8" t="s">
        <v>42</v>
      </c>
      <c r="C66" s="42">
        <v>12</v>
      </c>
    </row>
    <row r="67" spans="2:3" x14ac:dyDescent="0.3">
      <c r="B67" s="8" t="s">
        <v>253</v>
      </c>
      <c r="C67" s="42">
        <v>1</v>
      </c>
    </row>
    <row r="68" spans="2:3" x14ac:dyDescent="0.3">
      <c r="B68" s="8" t="s">
        <v>198</v>
      </c>
      <c r="C68" s="42">
        <v>15</v>
      </c>
    </row>
    <row r="69" spans="2:3" x14ac:dyDescent="0.3">
      <c r="B69" s="8" t="s">
        <v>295</v>
      </c>
      <c r="C69" s="42">
        <v>1</v>
      </c>
    </row>
    <row r="70" spans="2:3" x14ac:dyDescent="0.3">
      <c r="B70" s="8" t="s">
        <v>218</v>
      </c>
      <c r="C70" s="42">
        <v>5</v>
      </c>
    </row>
    <row r="71" spans="2:3" x14ac:dyDescent="0.3">
      <c r="B71" s="8" t="s">
        <v>85</v>
      </c>
      <c r="C71" s="42">
        <v>7</v>
      </c>
    </row>
    <row r="72" spans="2:3" x14ac:dyDescent="0.3">
      <c r="B72" s="8" t="s">
        <v>63</v>
      </c>
      <c r="C72" s="42">
        <v>3</v>
      </c>
    </row>
    <row r="73" spans="2:3" x14ac:dyDescent="0.3">
      <c r="B73" s="8" t="s">
        <v>50</v>
      </c>
      <c r="C73" s="42">
        <v>6</v>
      </c>
    </row>
    <row r="74" spans="2:3" x14ac:dyDescent="0.3">
      <c r="B74" s="8" t="s">
        <v>35</v>
      </c>
      <c r="C74" s="42">
        <v>5</v>
      </c>
    </row>
    <row r="75" spans="2:3" x14ac:dyDescent="0.3">
      <c r="B75" s="8" t="s">
        <v>128</v>
      </c>
      <c r="C75" s="42">
        <v>0</v>
      </c>
    </row>
    <row r="76" spans="2:3" x14ac:dyDescent="0.3">
      <c r="B76" s="8" t="s">
        <v>108</v>
      </c>
      <c r="C76" s="42">
        <v>9</v>
      </c>
    </row>
    <row r="77" spans="2:3" x14ac:dyDescent="0.3">
      <c r="B77" s="8" t="s">
        <v>78</v>
      </c>
      <c r="C77" s="42">
        <v>6</v>
      </c>
    </row>
    <row r="78" spans="2:3" x14ac:dyDescent="0.3">
      <c r="B78" s="8" t="s">
        <v>307</v>
      </c>
      <c r="C78" s="42">
        <v>0</v>
      </c>
    </row>
    <row r="79" spans="2:3" x14ac:dyDescent="0.3">
      <c r="B79" s="8" t="s">
        <v>66</v>
      </c>
      <c r="C79" s="42">
        <v>5</v>
      </c>
    </row>
    <row r="80" spans="2:3" x14ac:dyDescent="0.3">
      <c r="B80" s="8" t="s">
        <v>243</v>
      </c>
      <c r="C80" s="42">
        <v>1</v>
      </c>
    </row>
    <row r="81" spans="2:3" x14ac:dyDescent="0.3">
      <c r="B81" s="8" t="s">
        <v>10</v>
      </c>
      <c r="C81" s="42">
        <v>14</v>
      </c>
    </row>
    <row r="82" spans="2:3" x14ac:dyDescent="0.3">
      <c r="B82" s="8" t="s">
        <v>287</v>
      </c>
      <c r="C82" s="42">
        <v>0</v>
      </c>
    </row>
    <row r="83" spans="2:3" x14ac:dyDescent="0.3">
      <c r="B83" s="8" t="s">
        <v>134</v>
      </c>
      <c r="C83" s="42">
        <v>0</v>
      </c>
    </row>
    <row r="84" spans="2:3" x14ac:dyDescent="0.3">
      <c r="B84" s="8" t="s">
        <v>53</v>
      </c>
      <c r="C84" s="42">
        <v>9</v>
      </c>
    </row>
    <row r="85" spans="2:3" x14ac:dyDescent="0.3">
      <c r="B85" s="8" t="s">
        <v>266</v>
      </c>
      <c r="C85" s="42">
        <v>0</v>
      </c>
    </row>
    <row r="86" spans="2:3" x14ac:dyDescent="0.3">
      <c r="B86" s="8" t="s">
        <v>99</v>
      </c>
      <c r="C86" s="42">
        <v>0</v>
      </c>
    </row>
    <row r="87" spans="2:3" x14ac:dyDescent="0.3">
      <c r="B87" s="8" t="s">
        <v>165</v>
      </c>
      <c r="C87" s="42">
        <v>0</v>
      </c>
    </row>
    <row r="88" spans="2:3" x14ac:dyDescent="0.3">
      <c r="B88" s="8" t="s">
        <v>186</v>
      </c>
      <c r="C88" s="42">
        <v>10</v>
      </c>
    </row>
    <row r="89" spans="2:3" x14ac:dyDescent="0.3">
      <c r="B89" s="8" t="s">
        <v>256</v>
      </c>
      <c r="C89" s="42">
        <v>0</v>
      </c>
    </row>
    <row r="90" spans="2:3" x14ac:dyDescent="0.3">
      <c r="B90" s="8" t="s">
        <v>261</v>
      </c>
      <c r="C90" s="42">
        <v>0</v>
      </c>
    </row>
    <row r="91" spans="2:3" x14ac:dyDescent="0.3">
      <c r="B91" s="8" t="s">
        <v>60</v>
      </c>
      <c r="C91" s="42">
        <v>2</v>
      </c>
    </row>
    <row r="92" spans="2:3" x14ac:dyDescent="0.3">
      <c r="B92" s="8" t="s">
        <v>160</v>
      </c>
      <c r="C92" s="42">
        <v>0</v>
      </c>
    </row>
    <row r="93" spans="2:3" x14ac:dyDescent="0.3">
      <c r="B93" s="8" t="s">
        <v>163</v>
      </c>
      <c r="C93" s="42">
        <v>0</v>
      </c>
    </row>
    <row r="94" spans="2:3" x14ac:dyDescent="0.3">
      <c r="B94" s="8" t="s">
        <v>22</v>
      </c>
      <c r="C94" s="42">
        <v>5</v>
      </c>
    </row>
    <row r="95" spans="2:3" x14ac:dyDescent="0.3">
      <c r="B95" s="8" t="s">
        <v>14</v>
      </c>
      <c r="C95" s="42">
        <v>24</v>
      </c>
    </row>
    <row r="96" spans="2:3" x14ac:dyDescent="0.3">
      <c r="B96" s="8" t="s">
        <v>282</v>
      </c>
      <c r="C96" s="42">
        <v>0</v>
      </c>
    </row>
    <row r="97" spans="2:3" x14ac:dyDescent="0.3">
      <c r="B97" s="8" t="s">
        <v>92</v>
      </c>
      <c r="C97" s="42">
        <v>12</v>
      </c>
    </row>
    <row r="98" spans="2:3" x14ac:dyDescent="0.3">
      <c r="B98" s="8" t="s">
        <v>272</v>
      </c>
      <c r="C98" s="42">
        <v>0</v>
      </c>
    </row>
    <row r="99" spans="2:3" x14ac:dyDescent="0.3">
      <c r="B99" s="8" t="s">
        <v>122</v>
      </c>
      <c r="C99" s="42">
        <v>36</v>
      </c>
    </row>
    <row r="100" spans="2:3" x14ac:dyDescent="0.3">
      <c r="B100" s="8" t="s">
        <v>274</v>
      </c>
      <c r="C100" s="42">
        <v>0</v>
      </c>
    </row>
    <row r="101" spans="2:3" x14ac:dyDescent="0.3">
      <c r="B101" s="8" t="s">
        <v>140</v>
      </c>
      <c r="C101" s="42">
        <v>0</v>
      </c>
    </row>
    <row r="102" spans="2:3" x14ac:dyDescent="0.3">
      <c r="B102" s="8" t="s">
        <v>312</v>
      </c>
      <c r="C102" s="42">
        <v>0</v>
      </c>
    </row>
    <row r="103" spans="2:3" x14ac:dyDescent="0.3">
      <c r="B103" s="8" t="s">
        <v>170</v>
      </c>
      <c r="C103" s="42">
        <v>0</v>
      </c>
    </row>
    <row r="104" spans="2:3" x14ac:dyDescent="0.3">
      <c r="B104" s="8" t="s">
        <v>314</v>
      </c>
      <c r="C104" s="42">
        <v>0</v>
      </c>
    </row>
    <row r="105" spans="2:3" x14ac:dyDescent="0.3">
      <c r="B105" s="8" t="s">
        <v>202</v>
      </c>
      <c r="C105" s="42">
        <v>16</v>
      </c>
    </row>
    <row r="106" spans="2:3" x14ac:dyDescent="0.3">
      <c r="B106" s="8" t="s">
        <v>269</v>
      </c>
      <c r="C106" s="42">
        <v>0</v>
      </c>
    </row>
    <row r="107" spans="2:3" x14ac:dyDescent="0.3">
      <c r="B107" s="8" t="s">
        <v>280</v>
      </c>
      <c r="C107" s="42">
        <v>0</v>
      </c>
    </row>
    <row r="108" spans="2:3" x14ac:dyDescent="0.3">
      <c r="B108" s="8" t="s">
        <v>318</v>
      </c>
      <c r="C108" s="42">
        <v>1</v>
      </c>
    </row>
    <row r="109" spans="2:3" x14ac:dyDescent="0.3">
      <c r="B109" s="8" t="s">
        <v>264</v>
      </c>
      <c r="C109" s="42">
        <v>0</v>
      </c>
    </row>
    <row r="110" spans="2:3" x14ac:dyDescent="0.3">
      <c r="B110" s="8" t="s">
        <v>221</v>
      </c>
      <c r="C110" s="42">
        <v>6</v>
      </c>
    </row>
    <row r="111" spans="2:3" x14ac:dyDescent="0.3">
      <c r="B111" s="8" t="s">
        <v>18</v>
      </c>
      <c r="C111" s="42">
        <v>7</v>
      </c>
    </row>
    <row r="112" spans="2:3" x14ac:dyDescent="0.3">
      <c r="B112" s="8" t="s">
        <v>224</v>
      </c>
      <c r="C112" s="42">
        <v>5</v>
      </c>
    </row>
    <row r="113" spans="2:3" x14ac:dyDescent="0.3">
      <c r="B113" s="8" t="s">
        <v>347</v>
      </c>
      <c r="C113" s="42">
        <v>723</v>
      </c>
    </row>
  </sheetData>
  <mergeCells count="1">
    <mergeCell ref="B2:C2"/>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2175C-CD85-4727-8507-B3BE404FF9FE}">
  <dimension ref="A1:D133"/>
  <sheetViews>
    <sheetView topLeftCell="A123" workbookViewId="0">
      <selection activeCell="A138" sqref="A138"/>
    </sheetView>
  </sheetViews>
  <sheetFormatPr defaultRowHeight="14.4" x14ac:dyDescent="0.3"/>
  <cols>
    <col min="1" max="1" width="70.33203125" customWidth="1"/>
    <col min="2" max="2" width="13.5546875" bestFit="1" customWidth="1"/>
    <col min="3" max="3" width="12.6640625" customWidth="1"/>
    <col min="4" max="4" width="14.88671875" customWidth="1"/>
  </cols>
  <sheetData>
    <row r="1" spans="1:4" ht="63.6" thickBot="1" x14ac:dyDescent="0.45">
      <c r="A1" s="18" t="s">
        <v>0</v>
      </c>
      <c r="B1" s="16" t="s">
        <v>4</v>
      </c>
      <c r="C1" s="19" t="s">
        <v>327</v>
      </c>
      <c r="D1" s="20" t="s">
        <v>330</v>
      </c>
    </row>
    <row r="2" spans="1:4" x14ac:dyDescent="0.3">
      <c r="A2" s="36" t="s">
        <v>6</v>
      </c>
      <c r="B2" s="3">
        <v>2</v>
      </c>
      <c r="C2" s="25">
        <v>4.5</v>
      </c>
      <c r="D2" s="38" t="s">
        <v>346</v>
      </c>
    </row>
    <row r="3" spans="1:4" x14ac:dyDescent="0.3">
      <c r="A3" s="36" t="s">
        <v>10</v>
      </c>
      <c r="B3" s="3">
        <v>14</v>
      </c>
      <c r="C3" s="25">
        <v>4.0999999999999996</v>
      </c>
      <c r="D3" s="38" t="s">
        <v>344</v>
      </c>
    </row>
    <row r="4" spans="1:4" x14ac:dyDescent="0.3">
      <c r="A4" s="36" t="s">
        <v>14</v>
      </c>
      <c r="B4" s="3">
        <v>24</v>
      </c>
      <c r="C4" s="25">
        <v>4.5999999999999996</v>
      </c>
      <c r="D4" s="38" t="s">
        <v>346</v>
      </c>
    </row>
    <row r="5" spans="1:4" x14ac:dyDescent="0.3">
      <c r="A5" s="36" t="s">
        <v>18</v>
      </c>
      <c r="B5" s="3">
        <v>7</v>
      </c>
      <c r="C5" s="25">
        <v>4.7</v>
      </c>
      <c r="D5" s="38" t="s">
        <v>346</v>
      </c>
    </row>
    <row r="6" spans="1:4" x14ac:dyDescent="0.3">
      <c r="A6" s="36" t="s">
        <v>22</v>
      </c>
      <c r="B6" s="3">
        <v>5</v>
      </c>
      <c r="C6" s="25">
        <v>4.8</v>
      </c>
      <c r="D6" s="38" t="s">
        <v>346</v>
      </c>
    </row>
    <row r="7" spans="1:4" x14ac:dyDescent="0.3">
      <c r="A7" s="36" t="s">
        <v>26</v>
      </c>
      <c r="B7" s="3">
        <v>15</v>
      </c>
      <c r="C7" s="25">
        <v>4</v>
      </c>
      <c r="D7" s="38" t="s">
        <v>345</v>
      </c>
    </row>
    <row r="8" spans="1:4" x14ac:dyDescent="0.3">
      <c r="A8" s="36" t="s">
        <v>30</v>
      </c>
      <c r="B8" s="3">
        <v>55</v>
      </c>
      <c r="C8" s="25">
        <v>4.5999999999999996</v>
      </c>
      <c r="D8" s="38" t="s">
        <v>346</v>
      </c>
    </row>
    <row r="9" spans="1:4" x14ac:dyDescent="0.3">
      <c r="A9" s="36" t="s">
        <v>33</v>
      </c>
      <c r="B9" s="3">
        <v>2</v>
      </c>
      <c r="C9" s="25">
        <v>4</v>
      </c>
      <c r="D9" s="38" t="s">
        <v>346</v>
      </c>
    </row>
    <row r="10" spans="1:4" x14ac:dyDescent="0.3">
      <c r="A10" s="36" t="s">
        <v>35</v>
      </c>
      <c r="B10" s="3">
        <v>5</v>
      </c>
      <c r="C10" s="25">
        <v>4.8</v>
      </c>
      <c r="D10" s="38" t="s">
        <v>344</v>
      </c>
    </row>
    <row r="11" spans="1:4" x14ac:dyDescent="0.3">
      <c r="A11" s="36" t="s">
        <v>38</v>
      </c>
      <c r="B11" s="3">
        <v>5</v>
      </c>
      <c r="C11" s="25">
        <v>3.8</v>
      </c>
      <c r="D11" s="38" t="s">
        <v>344</v>
      </c>
    </row>
    <row r="12" spans="1:4" x14ac:dyDescent="0.3">
      <c r="A12" s="36" t="s">
        <v>42</v>
      </c>
      <c r="B12" s="3">
        <v>12</v>
      </c>
      <c r="C12" s="25">
        <v>4.0999999999999996</v>
      </c>
      <c r="D12" s="38" t="s">
        <v>346</v>
      </c>
    </row>
    <row r="13" spans="1:4" x14ac:dyDescent="0.3">
      <c r="A13" s="36" t="s">
        <v>44</v>
      </c>
      <c r="B13" s="3">
        <v>39</v>
      </c>
      <c r="C13" s="25">
        <v>4.7</v>
      </c>
      <c r="D13" s="38" t="s">
        <v>346</v>
      </c>
    </row>
    <row r="14" spans="1:4" x14ac:dyDescent="0.3">
      <c r="A14" s="36" t="s">
        <v>47</v>
      </c>
      <c r="B14" s="3">
        <v>12</v>
      </c>
      <c r="C14" s="25">
        <v>4.8</v>
      </c>
      <c r="D14" s="38" t="s">
        <v>344</v>
      </c>
    </row>
    <row r="15" spans="1:4" x14ac:dyDescent="0.3">
      <c r="A15" s="36" t="s">
        <v>50</v>
      </c>
      <c r="B15" s="3">
        <v>6</v>
      </c>
      <c r="C15" s="25">
        <v>4.5</v>
      </c>
      <c r="D15" s="38" t="s">
        <v>344</v>
      </c>
    </row>
    <row r="16" spans="1:4" x14ac:dyDescent="0.3">
      <c r="A16" s="36" t="s">
        <v>53</v>
      </c>
      <c r="B16" s="3">
        <v>9</v>
      </c>
      <c r="C16" s="25">
        <v>4.2</v>
      </c>
      <c r="D16" s="38" t="s">
        <v>346</v>
      </c>
    </row>
    <row r="17" spans="1:4" x14ac:dyDescent="0.3">
      <c r="A17" s="36" t="s">
        <v>56</v>
      </c>
      <c r="B17" s="3">
        <v>2</v>
      </c>
      <c r="C17" s="25">
        <v>5</v>
      </c>
      <c r="D17" s="38" t="s">
        <v>344</v>
      </c>
    </row>
    <row r="18" spans="1:4" x14ac:dyDescent="0.3">
      <c r="A18" s="36" t="s">
        <v>60</v>
      </c>
      <c r="B18" s="3">
        <v>2</v>
      </c>
      <c r="C18" s="25">
        <v>5</v>
      </c>
      <c r="D18" s="38" t="s">
        <v>344</v>
      </c>
    </row>
    <row r="19" spans="1:4" x14ac:dyDescent="0.3">
      <c r="A19" s="36" t="s">
        <v>63</v>
      </c>
      <c r="B19" s="3">
        <v>3</v>
      </c>
      <c r="C19" s="25">
        <v>5</v>
      </c>
      <c r="D19" s="38" t="s">
        <v>344</v>
      </c>
    </row>
    <row r="20" spans="1:4" x14ac:dyDescent="0.3">
      <c r="A20" s="36" t="s">
        <v>66</v>
      </c>
      <c r="B20" s="3">
        <v>5</v>
      </c>
      <c r="C20" s="25">
        <v>4.5999999999999996</v>
      </c>
      <c r="D20" s="38" t="s">
        <v>345</v>
      </c>
    </row>
    <row r="21" spans="1:4" x14ac:dyDescent="0.3">
      <c r="A21" s="36" t="s">
        <v>68</v>
      </c>
      <c r="B21" s="3">
        <v>44</v>
      </c>
      <c r="C21" s="25">
        <v>4.5999999999999996</v>
      </c>
      <c r="D21" s="38" t="s">
        <v>344</v>
      </c>
    </row>
    <row r="22" spans="1:4" x14ac:dyDescent="0.3">
      <c r="A22" s="36" t="s">
        <v>71</v>
      </c>
      <c r="B22" s="3">
        <v>13</v>
      </c>
      <c r="C22" s="25">
        <v>3.3</v>
      </c>
      <c r="D22" s="38" t="s">
        <v>344</v>
      </c>
    </row>
    <row r="23" spans="1:4" x14ac:dyDescent="0.3">
      <c r="A23" s="36" t="s">
        <v>75</v>
      </c>
      <c r="B23" s="3" t="s">
        <v>323</v>
      </c>
      <c r="C23" s="25" t="s">
        <v>324</v>
      </c>
      <c r="D23" s="38" t="s">
        <v>344</v>
      </c>
    </row>
    <row r="24" spans="1:4" x14ac:dyDescent="0.3">
      <c r="A24" s="36" t="s">
        <v>78</v>
      </c>
      <c r="B24" s="3">
        <v>6</v>
      </c>
      <c r="C24" s="25">
        <v>4</v>
      </c>
      <c r="D24" s="38" t="s">
        <v>346</v>
      </c>
    </row>
    <row r="25" spans="1:4" x14ac:dyDescent="0.3">
      <c r="A25" s="36" t="s">
        <v>81</v>
      </c>
      <c r="B25" s="3">
        <v>14</v>
      </c>
      <c r="C25" s="25">
        <v>4.4000000000000004</v>
      </c>
      <c r="D25" s="38" t="s">
        <v>346</v>
      </c>
    </row>
    <row r="26" spans="1:4" x14ac:dyDescent="0.3">
      <c r="A26" s="36" t="s">
        <v>85</v>
      </c>
      <c r="B26" s="3">
        <v>7</v>
      </c>
      <c r="C26" s="25">
        <v>4.3</v>
      </c>
      <c r="D26" s="38" t="s">
        <v>344</v>
      </c>
    </row>
    <row r="27" spans="1:4" x14ac:dyDescent="0.3">
      <c r="A27" s="36" t="s">
        <v>89</v>
      </c>
      <c r="B27" s="3">
        <v>49</v>
      </c>
      <c r="C27" s="25">
        <v>4.5999999999999996</v>
      </c>
      <c r="D27" s="38" t="s">
        <v>346</v>
      </c>
    </row>
    <row r="28" spans="1:4" x14ac:dyDescent="0.3">
      <c r="A28" s="36" t="s">
        <v>92</v>
      </c>
      <c r="B28" s="3">
        <v>12</v>
      </c>
      <c r="C28" s="25">
        <v>3.8</v>
      </c>
      <c r="D28" s="38" t="s">
        <v>345</v>
      </c>
    </row>
    <row r="29" spans="1:4" x14ac:dyDescent="0.3">
      <c r="A29" s="36" t="s">
        <v>95</v>
      </c>
      <c r="B29" s="3">
        <v>13</v>
      </c>
      <c r="C29" s="25">
        <v>3.8</v>
      </c>
      <c r="D29" s="38" t="s">
        <v>346</v>
      </c>
    </row>
    <row r="30" spans="1:4" x14ac:dyDescent="0.3">
      <c r="A30" s="36" t="s">
        <v>97</v>
      </c>
      <c r="B30" s="3">
        <v>20</v>
      </c>
      <c r="C30" s="25">
        <v>4.0999999999999996</v>
      </c>
      <c r="D30" s="38" t="s">
        <v>346</v>
      </c>
    </row>
    <row r="31" spans="1:4" x14ac:dyDescent="0.3">
      <c r="A31" s="36" t="s">
        <v>99</v>
      </c>
      <c r="B31" s="3" t="s">
        <v>323</v>
      </c>
      <c r="C31" s="25" t="s">
        <v>324</v>
      </c>
      <c r="D31" s="38" t="s">
        <v>344</v>
      </c>
    </row>
    <row r="32" spans="1:4" x14ac:dyDescent="0.3">
      <c r="A32" s="36" t="s">
        <v>102</v>
      </c>
      <c r="B32" s="3">
        <v>9</v>
      </c>
      <c r="C32" s="25">
        <v>4.3</v>
      </c>
      <c r="D32" s="38" t="s">
        <v>344</v>
      </c>
    </row>
    <row r="33" spans="1:4" x14ac:dyDescent="0.3">
      <c r="A33" s="36" t="s">
        <v>105</v>
      </c>
      <c r="B33" s="3">
        <v>12</v>
      </c>
      <c r="C33" s="25">
        <v>4.7</v>
      </c>
      <c r="D33" s="38" t="s">
        <v>346</v>
      </c>
    </row>
    <row r="34" spans="1:4" x14ac:dyDescent="0.3">
      <c r="A34" s="36" t="s">
        <v>108</v>
      </c>
      <c r="B34" s="3">
        <v>9</v>
      </c>
      <c r="C34" s="25">
        <v>4.3</v>
      </c>
      <c r="D34" s="38" t="s">
        <v>344</v>
      </c>
    </row>
    <row r="35" spans="1:4" x14ac:dyDescent="0.3">
      <c r="A35" s="36" t="s">
        <v>111</v>
      </c>
      <c r="B35" s="3">
        <v>20</v>
      </c>
      <c r="C35" s="25">
        <v>4.7</v>
      </c>
      <c r="D35" s="38" t="s">
        <v>346</v>
      </c>
    </row>
    <row r="36" spans="1:4" x14ac:dyDescent="0.3">
      <c r="A36" s="36" t="s">
        <v>114</v>
      </c>
      <c r="B36" s="3">
        <v>32</v>
      </c>
      <c r="C36" s="25">
        <v>4.5</v>
      </c>
      <c r="D36" s="38" t="s">
        <v>346</v>
      </c>
    </row>
    <row r="37" spans="1:4" x14ac:dyDescent="0.3">
      <c r="A37" s="36" t="s">
        <v>117</v>
      </c>
      <c r="B37" s="3">
        <v>1</v>
      </c>
      <c r="C37" s="25">
        <v>5</v>
      </c>
      <c r="D37" s="38" t="s">
        <v>344</v>
      </c>
    </row>
    <row r="38" spans="1:4" x14ac:dyDescent="0.3">
      <c r="A38" s="36" t="s">
        <v>120</v>
      </c>
      <c r="B38" s="3">
        <v>2</v>
      </c>
      <c r="C38" s="25">
        <v>5</v>
      </c>
      <c r="D38" s="38" t="s">
        <v>344</v>
      </c>
    </row>
    <row r="39" spans="1:4" x14ac:dyDescent="0.3">
      <c r="A39" s="36" t="s">
        <v>122</v>
      </c>
      <c r="B39" s="3">
        <v>36</v>
      </c>
      <c r="C39" s="25">
        <v>4.3</v>
      </c>
      <c r="D39" s="38" t="s">
        <v>344</v>
      </c>
    </row>
    <row r="40" spans="1:4" x14ac:dyDescent="0.3">
      <c r="A40" s="36" t="s">
        <v>125</v>
      </c>
      <c r="B40" s="3">
        <v>2</v>
      </c>
      <c r="C40" s="25">
        <v>4.5</v>
      </c>
      <c r="D40" s="38" t="s">
        <v>346</v>
      </c>
    </row>
    <row r="41" spans="1:4" x14ac:dyDescent="0.3">
      <c r="A41" s="36" t="s">
        <v>128</v>
      </c>
      <c r="B41" s="3" t="s">
        <v>323</v>
      </c>
      <c r="C41" s="25" t="s">
        <v>324</v>
      </c>
      <c r="D41" s="38" t="s">
        <v>346</v>
      </c>
    </row>
    <row r="42" spans="1:4" x14ac:dyDescent="0.3">
      <c r="A42" s="36" t="s">
        <v>131</v>
      </c>
      <c r="B42" s="3" t="s">
        <v>323</v>
      </c>
      <c r="C42" s="25" t="s">
        <v>324</v>
      </c>
      <c r="D42" s="38" t="s">
        <v>344</v>
      </c>
    </row>
    <row r="43" spans="1:4" x14ac:dyDescent="0.3">
      <c r="A43" s="36" t="s">
        <v>134</v>
      </c>
      <c r="B43" s="3" t="s">
        <v>323</v>
      </c>
      <c r="C43" s="25" t="s">
        <v>324</v>
      </c>
      <c r="D43" s="38" t="s">
        <v>344</v>
      </c>
    </row>
    <row r="44" spans="1:4" x14ac:dyDescent="0.3">
      <c r="A44" s="36" t="s">
        <v>137</v>
      </c>
      <c r="B44" s="3" t="s">
        <v>323</v>
      </c>
      <c r="C44" s="25" t="s">
        <v>324</v>
      </c>
      <c r="D44" s="38" t="s">
        <v>344</v>
      </c>
    </row>
    <row r="45" spans="1:4" x14ac:dyDescent="0.3">
      <c r="A45" s="36" t="s">
        <v>140</v>
      </c>
      <c r="B45" s="3" t="s">
        <v>323</v>
      </c>
      <c r="C45" s="25" t="s">
        <v>324</v>
      </c>
      <c r="D45" s="38" t="s">
        <v>345</v>
      </c>
    </row>
    <row r="46" spans="1:4" x14ac:dyDescent="0.3">
      <c r="A46" s="36" t="s">
        <v>143</v>
      </c>
      <c r="B46" s="3" t="s">
        <v>323</v>
      </c>
      <c r="C46" s="25" t="s">
        <v>324</v>
      </c>
      <c r="D46" s="38" t="s">
        <v>344</v>
      </c>
    </row>
    <row r="47" spans="1:4" x14ac:dyDescent="0.3">
      <c r="A47" s="36" t="s">
        <v>145</v>
      </c>
      <c r="B47" s="3" t="s">
        <v>323</v>
      </c>
      <c r="C47" s="25" t="s">
        <v>324</v>
      </c>
      <c r="D47" s="38" t="s">
        <v>346</v>
      </c>
    </row>
    <row r="48" spans="1:4" x14ac:dyDescent="0.3">
      <c r="A48" s="36" t="s">
        <v>148</v>
      </c>
      <c r="B48" s="3" t="s">
        <v>323</v>
      </c>
      <c r="C48" s="25" t="s">
        <v>324</v>
      </c>
      <c r="D48" s="38" t="s">
        <v>344</v>
      </c>
    </row>
    <row r="49" spans="1:4" x14ac:dyDescent="0.3">
      <c r="A49" s="36" t="s">
        <v>151</v>
      </c>
      <c r="B49" s="3" t="s">
        <v>323</v>
      </c>
      <c r="C49" s="25" t="s">
        <v>324</v>
      </c>
      <c r="D49" s="38" t="s">
        <v>346</v>
      </c>
    </row>
    <row r="50" spans="1:4" x14ac:dyDescent="0.3">
      <c r="A50" s="36" t="s">
        <v>154</v>
      </c>
      <c r="B50" s="3" t="s">
        <v>323</v>
      </c>
      <c r="C50" s="25" t="s">
        <v>324</v>
      </c>
      <c r="D50" s="38" t="s">
        <v>344</v>
      </c>
    </row>
    <row r="51" spans="1:4" x14ac:dyDescent="0.3">
      <c r="A51" s="36" t="s">
        <v>157</v>
      </c>
      <c r="B51" s="3" t="s">
        <v>323</v>
      </c>
      <c r="C51" s="25" t="s">
        <v>324</v>
      </c>
      <c r="D51" s="38" t="s">
        <v>344</v>
      </c>
    </row>
    <row r="52" spans="1:4" x14ac:dyDescent="0.3">
      <c r="A52" s="36" t="s">
        <v>160</v>
      </c>
      <c r="B52" s="3" t="s">
        <v>323</v>
      </c>
      <c r="C52" s="25" t="s">
        <v>324</v>
      </c>
      <c r="D52" s="38" t="s">
        <v>345</v>
      </c>
    </row>
    <row r="53" spans="1:4" x14ac:dyDescent="0.3">
      <c r="A53" s="36" t="s">
        <v>163</v>
      </c>
      <c r="B53" s="3" t="s">
        <v>323</v>
      </c>
      <c r="C53" s="25" t="s">
        <v>324</v>
      </c>
      <c r="D53" s="38" t="s">
        <v>346</v>
      </c>
    </row>
    <row r="54" spans="1:4" x14ac:dyDescent="0.3">
      <c r="A54" s="36" t="s">
        <v>165</v>
      </c>
      <c r="B54" s="3" t="s">
        <v>323</v>
      </c>
      <c r="C54" s="25" t="s">
        <v>324</v>
      </c>
      <c r="D54" s="38" t="s">
        <v>345</v>
      </c>
    </row>
    <row r="55" spans="1:4" x14ac:dyDescent="0.3">
      <c r="A55" s="36" t="s">
        <v>168</v>
      </c>
      <c r="B55" s="3" t="s">
        <v>323</v>
      </c>
      <c r="C55" s="25" t="s">
        <v>324</v>
      </c>
      <c r="D55" s="38" t="s">
        <v>344</v>
      </c>
    </row>
    <row r="56" spans="1:4" x14ac:dyDescent="0.3">
      <c r="A56" s="36" t="s">
        <v>170</v>
      </c>
      <c r="B56" s="3" t="s">
        <v>323</v>
      </c>
      <c r="C56" s="25" t="s">
        <v>324</v>
      </c>
      <c r="D56" s="38" t="s">
        <v>344</v>
      </c>
    </row>
    <row r="57" spans="1:4" x14ac:dyDescent="0.3">
      <c r="A57" s="36" t="s">
        <v>173</v>
      </c>
      <c r="B57" s="3" t="s">
        <v>323</v>
      </c>
      <c r="C57" s="25" t="s">
        <v>324</v>
      </c>
      <c r="D57" s="38" t="s">
        <v>344</v>
      </c>
    </row>
    <row r="58" spans="1:4" x14ac:dyDescent="0.3">
      <c r="A58" s="36" t="s">
        <v>175</v>
      </c>
      <c r="B58" s="3" t="s">
        <v>323</v>
      </c>
      <c r="C58" s="25" t="s">
        <v>324</v>
      </c>
      <c r="D58" s="38" t="s">
        <v>344</v>
      </c>
    </row>
    <row r="59" spans="1:4" x14ac:dyDescent="0.3">
      <c r="A59" s="36" t="s">
        <v>177</v>
      </c>
      <c r="B59" s="3" t="s">
        <v>323</v>
      </c>
      <c r="C59" s="25" t="s">
        <v>324</v>
      </c>
      <c r="D59" s="38" t="s">
        <v>346</v>
      </c>
    </row>
    <row r="60" spans="1:4" x14ac:dyDescent="0.3">
      <c r="A60" s="36" t="s">
        <v>170</v>
      </c>
      <c r="B60" s="3" t="s">
        <v>323</v>
      </c>
      <c r="C60" s="25" t="s">
        <v>324</v>
      </c>
      <c r="D60" s="38" t="s">
        <v>344</v>
      </c>
    </row>
    <row r="61" spans="1:4" x14ac:dyDescent="0.3">
      <c r="A61" s="36" t="s">
        <v>182</v>
      </c>
      <c r="B61" s="3">
        <v>6</v>
      </c>
      <c r="C61" s="25">
        <v>2.5</v>
      </c>
      <c r="D61" s="38" t="s">
        <v>345</v>
      </c>
    </row>
    <row r="62" spans="1:4" x14ac:dyDescent="0.3">
      <c r="A62" s="36" t="s">
        <v>186</v>
      </c>
      <c r="B62" s="3">
        <v>10</v>
      </c>
      <c r="C62" s="25">
        <v>3</v>
      </c>
      <c r="D62" s="38" t="s">
        <v>344</v>
      </c>
    </row>
    <row r="63" spans="1:4" x14ac:dyDescent="0.3">
      <c r="A63" s="36" t="s">
        <v>190</v>
      </c>
      <c r="B63" s="3">
        <v>13</v>
      </c>
      <c r="C63" s="25">
        <v>2.1</v>
      </c>
      <c r="D63" s="38" t="s">
        <v>344</v>
      </c>
    </row>
    <row r="64" spans="1:4" x14ac:dyDescent="0.3">
      <c r="A64" s="36" t="s">
        <v>194</v>
      </c>
      <c r="B64" s="3">
        <v>69</v>
      </c>
      <c r="C64" s="25">
        <v>2.8</v>
      </c>
      <c r="D64" s="38" t="s">
        <v>344</v>
      </c>
    </row>
    <row r="65" spans="1:4" x14ac:dyDescent="0.3">
      <c r="A65" s="36" t="s">
        <v>198</v>
      </c>
      <c r="B65" s="3">
        <v>15</v>
      </c>
      <c r="C65" s="25">
        <v>2.7</v>
      </c>
      <c r="D65" s="38" t="s">
        <v>344</v>
      </c>
    </row>
    <row r="66" spans="1:4" x14ac:dyDescent="0.3">
      <c r="A66" s="36" t="s">
        <v>202</v>
      </c>
      <c r="B66" s="3">
        <v>16</v>
      </c>
      <c r="C66" s="25">
        <v>2.9</v>
      </c>
      <c r="D66" s="38" t="s">
        <v>346</v>
      </c>
    </row>
    <row r="67" spans="1:4" x14ac:dyDescent="0.3">
      <c r="A67" s="36" t="s">
        <v>206</v>
      </c>
      <c r="B67" s="3">
        <v>6</v>
      </c>
      <c r="C67" s="25">
        <v>2.2000000000000002</v>
      </c>
      <c r="D67" s="38" t="s">
        <v>344</v>
      </c>
    </row>
    <row r="68" spans="1:4" x14ac:dyDescent="0.3">
      <c r="A68" s="36" t="s">
        <v>209</v>
      </c>
      <c r="B68" s="3">
        <v>7</v>
      </c>
      <c r="C68" s="25">
        <v>2.2999999999999998</v>
      </c>
      <c r="D68" s="38" t="s">
        <v>344</v>
      </c>
    </row>
    <row r="69" spans="1:4" x14ac:dyDescent="0.3">
      <c r="A69" s="36" t="s">
        <v>212</v>
      </c>
      <c r="B69" s="3">
        <v>5</v>
      </c>
      <c r="C69" s="25">
        <v>3</v>
      </c>
      <c r="D69" s="38" t="s">
        <v>346</v>
      </c>
    </row>
    <row r="70" spans="1:4" x14ac:dyDescent="0.3">
      <c r="A70" s="36" t="s">
        <v>215</v>
      </c>
      <c r="B70" s="3">
        <v>17</v>
      </c>
      <c r="C70" s="25">
        <v>2.6</v>
      </c>
      <c r="D70" s="38" t="s">
        <v>344</v>
      </c>
    </row>
    <row r="71" spans="1:4" x14ac:dyDescent="0.3">
      <c r="A71" s="36" t="s">
        <v>218</v>
      </c>
      <c r="B71" s="3">
        <v>5</v>
      </c>
      <c r="C71" s="25">
        <v>3</v>
      </c>
      <c r="D71" s="38" t="s">
        <v>346</v>
      </c>
    </row>
    <row r="72" spans="1:4" x14ac:dyDescent="0.3">
      <c r="A72" s="36" t="s">
        <v>221</v>
      </c>
      <c r="B72" s="3">
        <v>6</v>
      </c>
      <c r="C72" s="25">
        <v>2.2999999999999998</v>
      </c>
      <c r="D72" s="38" t="s">
        <v>344</v>
      </c>
    </row>
    <row r="73" spans="1:4" x14ac:dyDescent="0.3">
      <c r="A73" s="36" t="s">
        <v>224</v>
      </c>
      <c r="B73" s="3">
        <v>5</v>
      </c>
      <c r="C73" s="25">
        <v>3</v>
      </c>
      <c r="D73" s="38" t="s">
        <v>344</v>
      </c>
    </row>
    <row r="74" spans="1:4" x14ac:dyDescent="0.3">
      <c r="A74" s="36" t="s">
        <v>227</v>
      </c>
      <c r="B74" s="3">
        <v>6</v>
      </c>
      <c r="C74" s="25">
        <v>2.2000000000000002</v>
      </c>
      <c r="D74" s="38" t="s">
        <v>344</v>
      </c>
    </row>
    <row r="75" spans="1:4" x14ac:dyDescent="0.3">
      <c r="A75" s="36" t="s">
        <v>229</v>
      </c>
      <c r="B75" s="3">
        <v>7</v>
      </c>
      <c r="C75" s="25">
        <v>2.1</v>
      </c>
      <c r="D75" s="38" t="s">
        <v>344</v>
      </c>
    </row>
    <row r="76" spans="1:4" x14ac:dyDescent="0.3">
      <c r="A76" s="36" t="s">
        <v>232</v>
      </c>
      <c r="B76" s="3" t="s">
        <v>323</v>
      </c>
      <c r="C76" s="25" t="s">
        <v>324</v>
      </c>
      <c r="D76" s="38" t="s">
        <v>344</v>
      </c>
    </row>
    <row r="77" spans="1:4" x14ac:dyDescent="0.3">
      <c r="A77" s="36" t="s">
        <v>235</v>
      </c>
      <c r="B77" s="3" t="s">
        <v>323</v>
      </c>
      <c r="C77" s="25" t="s">
        <v>324</v>
      </c>
      <c r="D77" s="38" t="s">
        <v>344</v>
      </c>
    </row>
    <row r="78" spans="1:4" x14ac:dyDescent="0.3">
      <c r="A78" s="36" t="s">
        <v>237</v>
      </c>
      <c r="B78" s="3" t="s">
        <v>323</v>
      </c>
      <c r="C78" s="25" t="s">
        <v>324</v>
      </c>
      <c r="D78" s="38" t="s">
        <v>345</v>
      </c>
    </row>
    <row r="79" spans="1:4" x14ac:dyDescent="0.3">
      <c r="A79" s="36" t="s">
        <v>240</v>
      </c>
      <c r="B79" s="3" t="s">
        <v>323</v>
      </c>
      <c r="C79" s="25" t="s">
        <v>324</v>
      </c>
      <c r="D79" s="38" t="s">
        <v>344</v>
      </c>
    </row>
    <row r="80" spans="1:4" x14ac:dyDescent="0.3">
      <c r="A80" s="36" t="s">
        <v>243</v>
      </c>
      <c r="B80" s="3">
        <v>1</v>
      </c>
      <c r="C80" s="25">
        <v>3</v>
      </c>
      <c r="D80" s="38" t="s">
        <v>344</v>
      </c>
    </row>
    <row r="81" spans="1:4" x14ac:dyDescent="0.3">
      <c r="A81" s="36" t="s">
        <v>245</v>
      </c>
      <c r="B81" s="3">
        <v>1</v>
      </c>
      <c r="C81" s="25">
        <v>5</v>
      </c>
      <c r="D81" s="38" t="s">
        <v>344</v>
      </c>
    </row>
    <row r="82" spans="1:4" x14ac:dyDescent="0.3">
      <c r="A82" s="36" t="s">
        <v>248</v>
      </c>
      <c r="B82" s="3" t="s">
        <v>323</v>
      </c>
      <c r="C82" s="25" t="s">
        <v>324</v>
      </c>
      <c r="D82" s="38" t="s">
        <v>346</v>
      </c>
    </row>
    <row r="83" spans="1:4" x14ac:dyDescent="0.3">
      <c r="A83" s="36" t="s">
        <v>251</v>
      </c>
      <c r="B83" s="3" t="s">
        <v>323</v>
      </c>
      <c r="C83" s="25" t="s">
        <v>324</v>
      </c>
      <c r="D83" s="38" t="s">
        <v>345</v>
      </c>
    </row>
    <row r="84" spans="1:4" x14ac:dyDescent="0.3">
      <c r="A84" s="36" t="s">
        <v>253</v>
      </c>
      <c r="B84" s="3">
        <v>1</v>
      </c>
      <c r="C84" s="25">
        <v>4</v>
      </c>
      <c r="D84" s="38" t="s">
        <v>344</v>
      </c>
    </row>
    <row r="85" spans="1:4" x14ac:dyDescent="0.3">
      <c r="A85" s="36" t="s">
        <v>154</v>
      </c>
      <c r="B85" s="3" t="s">
        <v>323</v>
      </c>
      <c r="C85" s="25" t="s">
        <v>324</v>
      </c>
      <c r="D85" s="38" t="s">
        <v>344</v>
      </c>
    </row>
    <row r="86" spans="1:4" x14ac:dyDescent="0.3">
      <c r="A86" s="36" t="s">
        <v>256</v>
      </c>
      <c r="B86" s="3" t="s">
        <v>323</v>
      </c>
      <c r="C86" s="25" t="s">
        <v>324</v>
      </c>
      <c r="D86" s="38" t="s">
        <v>345</v>
      </c>
    </row>
    <row r="87" spans="1:4" x14ac:dyDescent="0.3">
      <c r="A87" s="36" t="s">
        <v>258</v>
      </c>
      <c r="B87" s="3" t="s">
        <v>323</v>
      </c>
      <c r="C87" s="25" t="s">
        <v>324</v>
      </c>
      <c r="D87" s="38" t="s">
        <v>344</v>
      </c>
    </row>
    <row r="88" spans="1:4" x14ac:dyDescent="0.3">
      <c r="A88" s="36" t="s">
        <v>261</v>
      </c>
      <c r="B88" s="3" t="s">
        <v>323</v>
      </c>
      <c r="C88" s="25" t="s">
        <v>324</v>
      </c>
      <c r="D88" s="38" t="s">
        <v>345</v>
      </c>
    </row>
    <row r="89" spans="1:4" x14ac:dyDescent="0.3">
      <c r="A89" s="36" t="s">
        <v>175</v>
      </c>
      <c r="B89" s="3" t="s">
        <v>323</v>
      </c>
      <c r="C89" s="25" t="s">
        <v>324</v>
      </c>
      <c r="D89" s="38" t="s">
        <v>344</v>
      </c>
    </row>
    <row r="90" spans="1:4" x14ac:dyDescent="0.3">
      <c r="A90" s="36" t="s">
        <v>264</v>
      </c>
      <c r="B90" s="3" t="s">
        <v>323</v>
      </c>
      <c r="C90" s="25" t="s">
        <v>324</v>
      </c>
      <c r="D90" s="38" t="s">
        <v>345</v>
      </c>
    </row>
    <row r="91" spans="1:4" x14ac:dyDescent="0.3">
      <c r="A91" s="36" t="s">
        <v>266</v>
      </c>
      <c r="B91" s="3" t="s">
        <v>323</v>
      </c>
      <c r="C91" s="25" t="s">
        <v>324</v>
      </c>
      <c r="D91" s="38" t="s">
        <v>344</v>
      </c>
    </row>
    <row r="92" spans="1:4" x14ac:dyDescent="0.3">
      <c r="A92" s="36" t="s">
        <v>269</v>
      </c>
      <c r="B92" s="3" t="s">
        <v>323</v>
      </c>
      <c r="C92" s="25" t="s">
        <v>324</v>
      </c>
      <c r="D92" s="38" t="s">
        <v>344</v>
      </c>
    </row>
    <row r="93" spans="1:4" x14ac:dyDescent="0.3">
      <c r="A93" s="36" t="s">
        <v>272</v>
      </c>
      <c r="B93" s="3" t="s">
        <v>323</v>
      </c>
      <c r="C93" s="25" t="s">
        <v>324</v>
      </c>
      <c r="D93" s="38" t="s">
        <v>344</v>
      </c>
    </row>
    <row r="94" spans="1:4" x14ac:dyDescent="0.3">
      <c r="A94" s="36" t="s">
        <v>274</v>
      </c>
      <c r="B94" s="3" t="s">
        <v>323</v>
      </c>
      <c r="C94" s="25" t="s">
        <v>324</v>
      </c>
      <c r="D94" s="38" t="s">
        <v>344</v>
      </c>
    </row>
    <row r="95" spans="1:4" x14ac:dyDescent="0.3">
      <c r="A95" s="36" t="s">
        <v>277</v>
      </c>
      <c r="B95" s="3" t="s">
        <v>323</v>
      </c>
      <c r="C95" s="25" t="s">
        <v>324</v>
      </c>
      <c r="D95" s="38" t="s">
        <v>344</v>
      </c>
    </row>
    <row r="96" spans="1:4" x14ac:dyDescent="0.3">
      <c r="A96" s="36" t="s">
        <v>278</v>
      </c>
      <c r="B96" s="3" t="s">
        <v>323</v>
      </c>
      <c r="C96" s="25" t="s">
        <v>324</v>
      </c>
      <c r="D96" s="38" t="s">
        <v>344</v>
      </c>
    </row>
    <row r="97" spans="1:4" x14ac:dyDescent="0.3">
      <c r="A97" s="36" t="s">
        <v>280</v>
      </c>
      <c r="B97" s="3" t="s">
        <v>323</v>
      </c>
      <c r="C97" s="25" t="s">
        <v>324</v>
      </c>
      <c r="D97" s="38" t="s">
        <v>345</v>
      </c>
    </row>
    <row r="98" spans="1:4" x14ac:dyDescent="0.3">
      <c r="A98" s="36" t="s">
        <v>282</v>
      </c>
      <c r="B98" s="3" t="s">
        <v>323</v>
      </c>
      <c r="C98" s="25" t="s">
        <v>324</v>
      </c>
      <c r="D98" s="38" t="s">
        <v>345</v>
      </c>
    </row>
    <row r="99" spans="1:4" x14ac:dyDescent="0.3">
      <c r="A99" s="36" t="s">
        <v>284</v>
      </c>
      <c r="B99" s="3" t="s">
        <v>323</v>
      </c>
      <c r="C99" s="25" t="s">
        <v>324</v>
      </c>
      <c r="D99" s="38" t="s">
        <v>344</v>
      </c>
    </row>
    <row r="100" spans="1:4" x14ac:dyDescent="0.3">
      <c r="A100" s="36" t="s">
        <v>287</v>
      </c>
      <c r="B100" s="3" t="s">
        <v>323</v>
      </c>
      <c r="C100" s="25" t="s">
        <v>324</v>
      </c>
      <c r="D100" s="38" t="s">
        <v>345</v>
      </c>
    </row>
    <row r="101" spans="1:4" x14ac:dyDescent="0.3">
      <c r="A101" s="36" t="s">
        <v>289</v>
      </c>
      <c r="B101" s="3" t="s">
        <v>323</v>
      </c>
      <c r="C101" s="25" t="s">
        <v>324</v>
      </c>
      <c r="D101" s="38" t="s">
        <v>344</v>
      </c>
    </row>
    <row r="102" spans="1:4" x14ac:dyDescent="0.3">
      <c r="A102" s="36" t="s">
        <v>292</v>
      </c>
      <c r="B102" s="3" t="s">
        <v>323</v>
      </c>
      <c r="C102" s="25" t="s">
        <v>324</v>
      </c>
      <c r="D102" s="38" t="s">
        <v>344</v>
      </c>
    </row>
    <row r="103" spans="1:4" x14ac:dyDescent="0.3">
      <c r="A103" s="36" t="s">
        <v>295</v>
      </c>
      <c r="B103" s="3">
        <v>1</v>
      </c>
      <c r="C103" s="25">
        <v>5</v>
      </c>
      <c r="D103" s="38" t="s">
        <v>346</v>
      </c>
    </row>
    <row r="104" spans="1:4" x14ac:dyDescent="0.3">
      <c r="A104" s="36" t="s">
        <v>298</v>
      </c>
      <c r="B104" s="3" t="s">
        <v>323</v>
      </c>
      <c r="C104" s="25" t="s">
        <v>324</v>
      </c>
      <c r="D104" s="38" t="s">
        <v>344</v>
      </c>
    </row>
    <row r="105" spans="1:4" x14ac:dyDescent="0.3">
      <c r="A105" s="36" t="s">
        <v>301</v>
      </c>
      <c r="B105" s="3" t="s">
        <v>323</v>
      </c>
      <c r="C105" s="25" t="s">
        <v>324</v>
      </c>
      <c r="D105" s="38" t="s">
        <v>345</v>
      </c>
    </row>
    <row r="106" spans="1:4" x14ac:dyDescent="0.3">
      <c r="A106" s="36" t="s">
        <v>304</v>
      </c>
      <c r="B106" s="3" t="s">
        <v>323</v>
      </c>
      <c r="C106" s="25" t="s">
        <v>324</v>
      </c>
      <c r="D106" s="38" t="s">
        <v>346</v>
      </c>
    </row>
    <row r="107" spans="1:4" x14ac:dyDescent="0.3">
      <c r="A107" s="36" t="s">
        <v>307</v>
      </c>
      <c r="B107" s="3" t="s">
        <v>323</v>
      </c>
      <c r="C107" s="25" t="s">
        <v>324</v>
      </c>
      <c r="D107" s="38" t="s">
        <v>346</v>
      </c>
    </row>
    <row r="108" spans="1:4" x14ac:dyDescent="0.3">
      <c r="A108" s="36" t="s">
        <v>310</v>
      </c>
      <c r="B108" s="3" t="s">
        <v>323</v>
      </c>
      <c r="C108" s="25" t="s">
        <v>324</v>
      </c>
      <c r="D108" s="38" t="s">
        <v>346</v>
      </c>
    </row>
    <row r="109" spans="1:4" x14ac:dyDescent="0.3">
      <c r="A109" s="36" t="s">
        <v>312</v>
      </c>
      <c r="B109" s="3" t="s">
        <v>323</v>
      </c>
      <c r="C109" s="25" t="s">
        <v>324</v>
      </c>
      <c r="D109" s="38" t="s">
        <v>345</v>
      </c>
    </row>
    <row r="110" spans="1:4" x14ac:dyDescent="0.3">
      <c r="A110" s="36" t="s">
        <v>314</v>
      </c>
      <c r="B110" s="3" t="s">
        <v>323</v>
      </c>
      <c r="C110" s="25" t="s">
        <v>324</v>
      </c>
      <c r="D110" s="38" t="s">
        <v>345</v>
      </c>
    </row>
    <row r="111" spans="1:4" x14ac:dyDescent="0.3">
      <c r="A111" s="36" t="s">
        <v>316</v>
      </c>
      <c r="B111" s="3" t="s">
        <v>323</v>
      </c>
      <c r="C111" s="25" t="s">
        <v>324</v>
      </c>
      <c r="D111" s="38" t="s">
        <v>344</v>
      </c>
    </row>
    <row r="112" spans="1:4" x14ac:dyDescent="0.3">
      <c r="A112" s="36" t="s">
        <v>318</v>
      </c>
      <c r="B112" s="3">
        <v>1</v>
      </c>
      <c r="C112" s="25">
        <v>2</v>
      </c>
      <c r="D112" s="38" t="s">
        <v>344</v>
      </c>
    </row>
    <row r="113" spans="1:4" ht="15" thickBot="1" x14ac:dyDescent="0.35">
      <c r="A113" s="37" t="s">
        <v>320</v>
      </c>
      <c r="B113" s="12" t="s">
        <v>323</v>
      </c>
      <c r="C113" s="26" t="s">
        <v>324</v>
      </c>
      <c r="D113" s="39" t="s">
        <v>344</v>
      </c>
    </row>
    <row r="115" spans="1:4" x14ac:dyDescent="0.3">
      <c r="A115" s="7" t="s">
        <v>343</v>
      </c>
      <c r="B115" t="s">
        <v>352</v>
      </c>
    </row>
    <row r="116" spans="1:4" x14ac:dyDescent="0.3">
      <c r="A116" s="8" t="s">
        <v>344</v>
      </c>
      <c r="B116">
        <v>3.6580645161290311</v>
      </c>
    </row>
    <row r="117" spans="1:4" x14ac:dyDescent="0.3">
      <c r="A117" s="8" t="s">
        <v>345</v>
      </c>
      <c r="B117">
        <v>3.7249999999999996</v>
      </c>
    </row>
    <row r="118" spans="1:4" x14ac:dyDescent="0.3">
      <c r="A118" s="8" t="s">
        <v>347</v>
      </c>
      <c r="B118">
        <v>3.6657142857142846</v>
      </c>
    </row>
    <row r="130" spans="1:2" x14ac:dyDescent="0.3">
      <c r="A130" s="7" t="s">
        <v>343</v>
      </c>
      <c r="B130" t="s">
        <v>360</v>
      </c>
    </row>
    <row r="131" spans="1:2" x14ac:dyDescent="0.3">
      <c r="A131" s="8" t="s">
        <v>344</v>
      </c>
      <c r="B131">
        <v>335</v>
      </c>
    </row>
    <row r="132" spans="1:2" x14ac:dyDescent="0.3">
      <c r="A132" s="8" t="s">
        <v>345</v>
      </c>
      <c r="B132">
        <v>38</v>
      </c>
    </row>
    <row r="133" spans="1:2" x14ac:dyDescent="0.3">
      <c r="A133" s="8" t="s">
        <v>347</v>
      </c>
      <c r="B133">
        <v>373</v>
      </c>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89FEC-35C7-4278-B5CE-6A857BDDB8FE}">
  <dimension ref="A1:C17"/>
  <sheetViews>
    <sheetView topLeftCell="A10" workbookViewId="0">
      <selection activeCell="K29" sqref="K29"/>
    </sheetView>
  </sheetViews>
  <sheetFormatPr defaultRowHeight="14.4" x14ac:dyDescent="0.3"/>
  <cols>
    <col min="1" max="1" width="17.88671875" bestFit="1" customWidth="1"/>
    <col min="2" max="2" width="14.88671875" bestFit="1" customWidth="1"/>
    <col min="3" max="3" width="23" bestFit="1" customWidth="1"/>
  </cols>
  <sheetData>
    <row r="1" spans="1:3" x14ac:dyDescent="0.3">
      <c r="A1" s="7" t="s">
        <v>343</v>
      </c>
      <c r="B1" t="s">
        <v>362</v>
      </c>
      <c r="C1" t="s">
        <v>363</v>
      </c>
    </row>
    <row r="2" spans="1:3" x14ac:dyDescent="0.3">
      <c r="A2" s="8" t="s">
        <v>344</v>
      </c>
      <c r="B2" s="1">
        <v>30.369999999999987</v>
      </c>
      <c r="C2" s="42">
        <v>63</v>
      </c>
    </row>
    <row r="3" spans="1:3" x14ac:dyDescent="0.3">
      <c r="A3" s="40" t="s">
        <v>350</v>
      </c>
      <c r="B3" s="1">
        <v>5.32</v>
      </c>
      <c r="C3" s="42">
        <v>11</v>
      </c>
    </row>
    <row r="4" spans="1:3" x14ac:dyDescent="0.3">
      <c r="A4" s="40" t="s">
        <v>351</v>
      </c>
      <c r="B4" s="1">
        <v>4.8100000000000005</v>
      </c>
      <c r="C4" s="42">
        <v>10</v>
      </c>
    </row>
    <row r="5" spans="1:3" x14ac:dyDescent="0.3">
      <c r="A5" s="40" t="s">
        <v>349</v>
      </c>
      <c r="B5" s="1">
        <v>4.83</v>
      </c>
      <c r="C5" s="42">
        <v>10</v>
      </c>
    </row>
    <row r="6" spans="1:3" x14ac:dyDescent="0.3">
      <c r="A6" s="40" t="s">
        <v>361</v>
      </c>
      <c r="B6" s="1">
        <v>15.410000000000004</v>
      </c>
      <c r="C6" s="42">
        <v>32</v>
      </c>
    </row>
    <row r="7" spans="1:3" x14ac:dyDescent="0.3">
      <c r="A7" s="8" t="s">
        <v>345</v>
      </c>
      <c r="B7" s="1">
        <v>1.3000000000000005</v>
      </c>
      <c r="C7" s="42">
        <v>18</v>
      </c>
    </row>
    <row r="8" spans="1:3" x14ac:dyDescent="0.3">
      <c r="A8" s="40" t="s">
        <v>350</v>
      </c>
      <c r="B8" s="1">
        <v>0.27</v>
      </c>
      <c r="C8" s="42">
        <v>2</v>
      </c>
    </row>
    <row r="9" spans="1:3" x14ac:dyDescent="0.3">
      <c r="A9" s="40" t="s">
        <v>351</v>
      </c>
      <c r="B9" s="1">
        <v>0.19</v>
      </c>
      <c r="C9" s="42">
        <v>1</v>
      </c>
    </row>
    <row r="10" spans="1:3" x14ac:dyDescent="0.3">
      <c r="A10" s="40" t="s">
        <v>349</v>
      </c>
      <c r="B10" s="1">
        <v>0.13</v>
      </c>
      <c r="C10" s="42">
        <v>1</v>
      </c>
    </row>
    <row r="11" spans="1:3" x14ac:dyDescent="0.3">
      <c r="A11" s="40" t="s">
        <v>361</v>
      </c>
      <c r="B11" s="1">
        <v>0.71000000000000008</v>
      </c>
      <c r="C11" s="42">
        <v>14</v>
      </c>
    </row>
    <row r="12" spans="1:3" x14ac:dyDescent="0.3">
      <c r="A12" s="8" t="s">
        <v>346</v>
      </c>
      <c r="B12" s="1">
        <v>9.5199999999999978</v>
      </c>
      <c r="C12" s="42">
        <v>31</v>
      </c>
    </row>
    <row r="13" spans="1:3" x14ac:dyDescent="0.3">
      <c r="A13" s="40" t="s">
        <v>350</v>
      </c>
      <c r="B13" s="1">
        <v>2.7800000000000002</v>
      </c>
      <c r="C13" s="42">
        <v>9</v>
      </c>
    </row>
    <row r="14" spans="1:3" x14ac:dyDescent="0.3">
      <c r="A14" s="40" t="s">
        <v>351</v>
      </c>
      <c r="B14" s="1">
        <v>3.6599999999999997</v>
      </c>
      <c r="C14" s="42">
        <v>12</v>
      </c>
    </row>
    <row r="15" spans="1:3" x14ac:dyDescent="0.3">
      <c r="A15" s="40" t="s">
        <v>349</v>
      </c>
      <c r="B15" s="1">
        <v>0.22</v>
      </c>
      <c r="C15" s="42">
        <v>1</v>
      </c>
    </row>
    <row r="16" spans="1:3" x14ac:dyDescent="0.3">
      <c r="A16" s="40" t="s">
        <v>361</v>
      </c>
      <c r="B16" s="1">
        <v>2.8599999999999994</v>
      </c>
      <c r="C16" s="42">
        <v>9</v>
      </c>
    </row>
    <row r="17" spans="1:3" x14ac:dyDescent="0.3">
      <c r="A17" s="8" t="s">
        <v>347</v>
      </c>
      <c r="B17" s="1">
        <v>41.190000000000012</v>
      </c>
      <c r="C17" s="42">
        <v>112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85AAE-B06B-4053-8C14-EF3E09BEFFE9}">
  <dimension ref="A1:D21"/>
  <sheetViews>
    <sheetView topLeftCell="A3" workbookViewId="0">
      <selection activeCell="A21" sqref="A21:D21"/>
    </sheetView>
  </sheetViews>
  <sheetFormatPr defaultRowHeight="14.4" x14ac:dyDescent="0.3"/>
  <cols>
    <col min="1" max="1" width="18.88671875" customWidth="1"/>
  </cols>
  <sheetData>
    <row r="1" spans="1:2" ht="28.8" x14ac:dyDescent="0.3">
      <c r="A1" s="5" t="s">
        <v>332</v>
      </c>
      <c r="B1" t="s">
        <v>212</v>
      </c>
    </row>
    <row r="2" spans="1:2" ht="28.8" x14ac:dyDescent="0.3">
      <c r="A2" s="5" t="s">
        <v>333</v>
      </c>
      <c r="B2">
        <v>3750</v>
      </c>
    </row>
    <row r="4" spans="1:2" ht="28.8" x14ac:dyDescent="0.3">
      <c r="A4" s="5" t="s">
        <v>334</v>
      </c>
      <c r="B4" t="s">
        <v>71</v>
      </c>
    </row>
    <row r="5" spans="1:2" ht="28.8" x14ac:dyDescent="0.3">
      <c r="A5" s="5" t="s">
        <v>335</v>
      </c>
      <c r="B5">
        <v>38</v>
      </c>
    </row>
    <row r="9" spans="1:2" x14ac:dyDescent="0.3">
      <c r="A9" t="s">
        <v>336</v>
      </c>
      <c r="B9" t="s">
        <v>331</v>
      </c>
    </row>
    <row r="10" spans="1:2" x14ac:dyDescent="0.3">
      <c r="A10" t="s">
        <v>325</v>
      </c>
      <c r="B10">
        <v>1186.8928571428571</v>
      </c>
    </row>
    <row r="11" spans="1:2" x14ac:dyDescent="0.3">
      <c r="A11" t="s">
        <v>326</v>
      </c>
      <c r="B11">
        <v>1811.1071428571429</v>
      </c>
    </row>
    <row r="12" spans="1:2" x14ac:dyDescent="0.3">
      <c r="A12" t="s">
        <v>3</v>
      </c>
      <c r="B12" s="6">
        <v>0.36776785714285715</v>
      </c>
    </row>
    <row r="13" spans="1:2" x14ac:dyDescent="0.3">
      <c r="A13" t="s">
        <v>327</v>
      </c>
      <c r="B13">
        <v>3.8894736842105258</v>
      </c>
    </row>
    <row r="17" spans="1:4" ht="15" customHeight="1" x14ac:dyDescent="0.35">
      <c r="A17" s="41" t="s">
        <v>353</v>
      </c>
      <c r="B17" s="41"/>
      <c r="C17" s="41"/>
      <c r="D17" s="41"/>
    </row>
    <row r="18" spans="1:4" ht="15" customHeight="1" x14ac:dyDescent="0.35">
      <c r="A18" s="41" t="s">
        <v>354</v>
      </c>
      <c r="B18" s="41"/>
      <c r="C18" s="41"/>
      <c r="D18" s="41"/>
    </row>
    <row r="19" spans="1:4" ht="15" customHeight="1" x14ac:dyDescent="0.35">
      <c r="A19" s="41" t="s">
        <v>355</v>
      </c>
      <c r="B19" s="41"/>
      <c r="C19" s="41"/>
      <c r="D19" s="41"/>
    </row>
    <row r="20" spans="1:4" ht="15" customHeight="1" x14ac:dyDescent="0.35">
      <c r="A20" s="41" t="s">
        <v>356</v>
      </c>
      <c r="B20" s="41"/>
      <c r="C20" s="41"/>
      <c r="D20" s="41"/>
    </row>
    <row r="21" spans="1:4" ht="15" customHeight="1" x14ac:dyDescent="0.35">
      <c r="A21" s="41" t="s">
        <v>357</v>
      </c>
      <c r="B21" s="41"/>
      <c r="C21" s="41"/>
      <c r="D21" s="41"/>
    </row>
  </sheetData>
  <mergeCells count="5">
    <mergeCell ref="A17:D17"/>
    <mergeCell ref="A18:D18"/>
    <mergeCell ref="A19:D19"/>
    <mergeCell ref="A20:D20"/>
    <mergeCell ref="A21:D2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E9BAE-DC8B-40D0-8F53-78E9881E31ED}">
  <dimension ref="B1:S80"/>
  <sheetViews>
    <sheetView tabSelected="1" zoomScale="70" zoomScaleNormal="70" workbookViewId="0">
      <selection activeCell="A80" sqref="A80"/>
    </sheetView>
  </sheetViews>
  <sheetFormatPr defaultRowHeight="14.4" x14ac:dyDescent="0.3"/>
  <cols>
    <col min="1" max="1" width="4.5546875" style="27" customWidth="1"/>
    <col min="2" max="16384" width="8.88671875" style="27"/>
  </cols>
  <sheetData>
    <row r="1" spans="2:19" ht="15" thickBot="1" x14ac:dyDescent="0.35"/>
    <row r="2" spans="2:19" x14ac:dyDescent="0.3">
      <c r="B2" s="28"/>
      <c r="C2" s="29"/>
      <c r="D2" s="29"/>
      <c r="E2" s="29"/>
      <c r="F2" s="29"/>
      <c r="G2" s="29"/>
      <c r="H2" s="29"/>
      <c r="I2" s="29"/>
      <c r="J2" s="29"/>
      <c r="K2" s="29"/>
      <c r="L2" s="29"/>
      <c r="M2" s="29"/>
      <c r="N2" s="29"/>
      <c r="O2" s="29"/>
      <c r="P2" s="29"/>
      <c r="Q2" s="29"/>
      <c r="R2" s="29"/>
      <c r="S2" s="30"/>
    </row>
    <row r="3" spans="2:19" x14ac:dyDescent="0.3">
      <c r="B3" s="31"/>
      <c r="S3" s="32"/>
    </row>
    <row r="4" spans="2:19" x14ac:dyDescent="0.3">
      <c r="B4" s="31"/>
      <c r="S4" s="32"/>
    </row>
    <row r="5" spans="2:19" x14ac:dyDescent="0.3">
      <c r="B5" s="31"/>
      <c r="S5" s="32"/>
    </row>
    <row r="6" spans="2:19" x14ac:dyDescent="0.3">
      <c r="B6" s="31"/>
      <c r="S6" s="32"/>
    </row>
    <row r="7" spans="2:19" x14ac:dyDescent="0.3">
      <c r="B7" s="31"/>
      <c r="S7" s="32"/>
    </row>
    <row r="8" spans="2:19" x14ac:dyDescent="0.3">
      <c r="B8" s="31"/>
      <c r="S8" s="32"/>
    </row>
    <row r="9" spans="2:19" x14ac:dyDescent="0.3">
      <c r="B9" s="31"/>
      <c r="S9" s="32"/>
    </row>
    <row r="10" spans="2:19" x14ac:dyDescent="0.3">
      <c r="B10" s="31"/>
      <c r="S10" s="32"/>
    </row>
    <row r="11" spans="2:19" x14ac:dyDescent="0.3">
      <c r="B11" s="31"/>
      <c r="S11" s="32"/>
    </row>
    <row r="12" spans="2:19" x14ac:dyDescent="0.3">
      <c r="B12" s="31"/>
      <c r="S12" s="32"/>
    </row>
    <row r="13" spans="2:19" x14ac:dyDescent="0.3">
      <c r="B13" s="31"/>
      <c r="S13" s="32"/>
    </row>
    <row r="14" spans="2:19" x14ac:dyDescent="0.3">
      <c r="B14" s="31"/>
      <c r="S14" s="32"/>
    </row>
    <row r="15" spans="2:19" x14ac:dyDescent="0.3">
      <c r="B15" s="31"/>
      <c r="S15" s="32"/>
    </row>
    <row r="16" spans="2:19" x14ac:dyDescent="0.3">
      <c r="B16" s="31"/>
      <c r="S16" s="32"/>
    </row>
    <row r="17" spans="2:19" x14ac:dyDescent="0.3">
      <c r="B17" s="31"/>
      <c r="S17" s="32"/>
    </row>
    <row r="18" spans="2:19" x14ac:dyDescent="0.3">
      <c r="B18" s="31"/>
      <c r="S18" s="32"/>
    </row>
    <row r="19" spans="2:19" x14ac:dyDescent="0.3">
      <c r="B19" s="31"/>
      <c r="S19" s="32"/>
    </row>
    <row r="20" spans="2:19" x14ac:dyDescent="0.3">
      <c r="B20" s="31"/>
      <c r="S20" s="32"/>
    </row>
    <row r="21" spans="2:19" x14ac:dyDescent="0.3">
      <c r="B21" s="31"/>
      <c r="S21" s="32"/>
    </row>
    <row r="22" spans="2:19" x14ac:dyDescent="0.3">
      <c r="B22" s="31"/>
      <c r="S22" s="32"/>
    </row>
    <row r="23" spans="2:19" x14ac:dyDescent="0.3">
      <c r="B23" s="31"/>
      <c r="S23" s="32"/>
    </row>
    <row r="24" spans="2:19" x14ac:dyDescent="0.3">
      <c r="B24" s="31"/>
      <c r="S24" s="32"/>
    </row>
    <row r="25" spans="2:19" x14ac:dyDescent="0.3">
      <c r="B25" s="31"/>
      <c r="S25" s="32"/>
    </row>
    <row r="26" spans="2:19" x14ac:dyDescent="0.3">
      <c r="B26" s="31"/>
      <c r="S26" s="32"/>
    </row>
    <row r="27" spans="2:19" x14ac:dyDescent="0.3">
      <c r="B27" s="31"/>
      <c r="S27" s="32"/>
    </row>
    <row r="28" spans="2:19" x14ac:dyDescent="0.3">
      <c r="B28" s="31"/>
      <c r="S28" s="32"/>
    </row>
    <row r="29" spans="2:19" x14ac:dyDescent="0.3">
      <c r="B29" s="31"/>
      <c r="S29" s="32"/>
    </row>
    <row r="30" spans="2:19" x14ac:dyDescent="0.3">
      <c r="B30" s="31"/>
      <c r="S30" s="32"/>
    </row>
    <row r="31" spans="2:19" x14ac:dyDescent="0.3">
      <c r="B31" s="31"/>
      <c r="S31" s="32"/>
    </row>
    <row r="32" spans="2:19" x14ac:dyDescent="0.3">
      <c r="B32" s="31"/>
      <c r="S32" s="32"/>
    </row>
    <row r="33" spans="2:19" x14ac:dyDescent="0.3">
      <c r="B33" s="31"/>
      <c r="S33" s="32"/>
    </row>
    <row r="34" spans="2:19" x14ac:dyDescent="0.3">
      <c r="B34" s="31"/>
      <c r="S34" s="32"/>
    </row>
    <row r="35" spans="2:19" ht="15" thickBot="1" x14ac:dyDescent="0.35">
      <c r="B35" s="33"/>
      <c r="C35" s="34"/>
      <c r="D35" s="34"/>
      <c r="E35" s="34"/>
      <c r="F35" s="34"/>
      <c r="G35" s="34"/>
      <c r="H35" s="34"/>
      <c r="I35" s="34"/>
      <c r="J35" s="34"/>
      <c r="K35" s="34"/>
      <c r="L35" s="34"/>
      <c r="M35" s="34"/>
      <c r="N35" s="34"/>
      <c r="O35" s="34"/>
      <c r="P35" s="34"/>
      <c r="Q35" s="34"/>
      <c r="R35" s="34"/>
      <c r="S35" s="35"/>
    </row>
    <row r="44" spans="2:19" ht="15" thickBot="1" x14ac:dyDescent="0.35"/>
    <row r="45" spans="2:19" x14ac:dyDescent="0.3">
      <c r="B45" s="28"/>
      <c r="C45" s="29"/>
      <c r="D45" s="29"/>
      <c r="E45" s="29"/>
      <c r="F45" s="29"/>
      <c r="G45" s="29"/>
      <c r="H45" s="29"/>
      <c r="I45" s="29"/>
      <c r="J45" s="29"/>
      <c r="K45" s="29"/>
      <c r="L45" s="29"/>
      <c r="M45" s="29"/>
      <c r="N45" s="29"/>
      <c r="O45" s="29"/>
      <c r="P45" s="29"/>
      <c r="Q45" s="29"/>
      <c r="R45" s="29"/>
      <c r="S45" s="30"/>
    </row>
    <row r="46" spans="2:19" x14ac:dyDescent="0.3">
      <c r="B46" s="31"/>
      <c r="S46" s="32"/>
    </row>
    <row r="47" spans="2:19" x14ac:dyDescent="0.3">
      <c r="B47" s="31"/>
      <c r="S47" s="32"/>
    </row>
    <row r="48" spans="2:19" x14ac:dyDescent="0.3">
      <c r="B48" s="31"/>
      <c r="S48" s="32"/>
    </row>
    <row r="49" spans="2:19" x14ac:dyDescent="0.3">
      <c r="B49" s="31"/>
      <c r="S49" s="32"/>
    </row>
    <row r="50" spans="2:19" x14ac:dyDescent="0.3">
      <c r="B50" s="31"/>
      <c r="S50" s="32"/>
    </row>
    <row r="51" spans="2:19" x14ac:dyDescent="0.3">
      <c r="B51" s="31"/>
      <c r="S51" s="32"/>
    </row>
    <row r="52" spans="2:19" x14ac:dyDescent="0.3">
      <c r="B52" s="31"/>
      <c r="S52" s="32"/>
    </row>
    <row r="53" spans="2:19" x14ac:dyDescent="0.3">
      <c r="B53" s="31"/>
      <c r="S53" s="32"/>
    </row>
    <row r="54" spans="2:19" x14ac:dyDescent="0.3">
      <c r="B54" s="31"/>
      <c r="S54" s="32"/>
    </row>
    <row r="55" spans="2:19" x14ac:dyDescent="0.3">
      <c r="B55" s="31"/>
      <c r="S55" s="32"/>
    </row>
    <row r="56" spans="2:19" x14ac:dyDescent="0.3">
      <c r="B56" s="31"/>
      <c r="S56" s="32"/>
    </row>
    <row r="57" spans="2:19" x14ac:dyDescent="0.3">
      <c r="B57" s="31"/>
      <c r="S57" s="32"/>
    </row>
    <row r="58" spans="2:19" x14ac:dyDescent="0.3">
      <c r="B58" s="31"/>
      <c r="S58" s="32"/>
    </row>
    <row r="59" spans="2:19" x14ac:dyDescent="0.3">
      <c r="B59" s="31"/>
      <c r="S59" s="32"/>
    </row>
    <row r="60" spans="2:19" x14ac:dyDescent="0.3">
      <c r="B60" s="31"/>
      <c r="S60" s="32"/>
    </row>
    <row r="61" spans="2:19" x14ac:dyDescent="0.3">
      <c r="B61" s="31"/>
      <c r="S61" s="32"/>
    </row>
    <row r="62" spans="2:19" x14ac:dyDescent="0.3">
      <c r="B62" s="31"/>
      <c r="S62" s="32"/>
    </row>
    <row r="63" spans="2:19" x14ac:dyDescent="0.3">
      <c r="B63" s="31"/>
      <c r="S63" s="32"/>
    </row>
    <row r="64" spans="2:19" x14ac:dyDescent="0.3">
      <c r="B64" s="31"/>
      <c r="S64" s="32"/>
    </row>
    <row r="65" spans="2:19" x14ac:dyDescent="0.3">
      <c r="B65" s="31"/>
      <c r="S65" s="32"/>
    </row>
    <row r="66" spans="2:19" x14ac:dyDescent="0.3">
      <c r="B66" s="31"/>
      <c r="S66" s="32"/>
    </row>
    <row r="67" spans="2:19" x14ac:dyDescent="0.3">
      <c r="B67" s="31"/>
      <c r="S67" s="32"/>
    </row>
    <row r="68" spans="2:19" x14ac:dyDescent="0.3">
      <c r="B68" s="31"/>
      <c r="S68" s="32"/>
    </row>
    <row r="69" spans="2:19" x14ac:dyDescent="0.3">
      <c r="B69" s="31"/>
      <c r="S69" s="32"/>
    </row>
    <row r="70" spans="2:19" x14ac:dyDescent="0.3">
      <c r="B70" s="31"/>
      <c r="S70" s="32"/>
    </row>
    <row r="71" spans="2:19" x14ac:dyDescent="0.3">
      <c r="B71" s="31"/>
      <c r="S71" s="32"/>
    </row>
    <row r="72" spans="2:19" x14ac:dyDescent="0.3">
      <c r="B72" s="31"/>
      <c r="S72" s="32"/>
    </row>
    <row r="73" spans="2:19" x14ac:dyDescent="0.3">
      <c r="B73" s="31"/>
      <c r="S73" s="32"/>
    </row>
    <row r="74" spans="2:19" x14ac:dyDescent="0.3">
      <c r="B74" s="31"/>
      <c r="S74" s="32"/>
    </row>
    <row r="75" spans="2:19" x14ac:dyDescent="0.3">
      <c r="B75" s="31"/>
      <c r="S75" s="32"/>
    </row>
    <row r="76" spans="2:19" x14ac:dyDescent="0.3">
      <c r="B76" s="31"/>
      <c r="S76" s="32"/>
    </row>
    <row r="77" spans="2:19" x14ac:dyDescent="0.3">
      <c r="B77" s="31"/>
      <c r="S77" s="32"/>
    </row>
    <row r="78" spans="2:19" x14ac:dyDescent="0.3">
      <c r="B78" s="31"/>
      <c r="S78" s="32"/>
    </row>
    <row r="79" spans="2:19" x14ac:dyDescent="0.3">
      <c r="B79" s="31"/>
      <c r="S79" s="32"/>
    </row>
    <row r="80" spans="2:19" ht="15" thickBot="1" x14ac:dyDescent="0.35">
      <c r="B80" s="33" t="s">
        <v>364</v>
      </c>
      <c r="C80" s="34"/>
      <c r="D80" s="34"/>
      <c r="E80" s="34"/>
      <c r="F80" s="34"/>
      <c r="G80" s="34"/>
      <c r="H80" s="34"/>
      <c r="I80" s="34"/>
      <c r="J80" s="34"/>
      <c r="K80" s="34"/>
      <c r="L80" s="34"/>
      <c r="M80" s="34"/>
      <c r="N80" s="34"/>
      <c r="O80" s="34"/>
      <c r="P80" s="34"/>
      <c r="Q80" s="34"/>
      <c r="R80" s="34"/>
      <c r="S80" s="3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ORIGINAL DATA</vt:lpstr>
      <vt:lpstr>DATA CLEANING</vt:lpstr>
      <vt:lpstr>Average of Discount Categories</vt:lpstr>
      <vt:lpstr>Average of Rating Categories</vt:lpstr>
      <vt:lpstr>Discount % x Reviews</vt:lpstr>
      <vt:lpstr>Rating X Number of reviews</vt:lpstr>
      <vt:lpstr>Top 5 Rated Products</vt:lpstr>
      <vt:lpstr>Bottom 5 Rated Products</vt:lpstr>
      <vt:lpstr>Top 10 Discounted Products</vt:lpstr>
      <vt:lpstr>Top 10 Reviewed Products</vt:lpstr>
      <vt:lpstr>High vs low disc.-Rate &amp; Review</vt:lpstr>
      <vt:lpstr>Slicers</vt:lpstr>
      <vt:lpstr>The important 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Tessy</dc:creator>
  <cp:lastModifiedBy>Tessy Kariuki</cp:lastModifiedBy>
  <dcterms:created xsi:type="dcterms:W3CDTF">2025-12-10T13:11:46Z</dcterms:created>
  <dcterms:modified xsi:type="dcterms:W3CDTF">2026-01-05T14:00:47Z</dcterms:modified>
</cp:coreProperties>
</file>